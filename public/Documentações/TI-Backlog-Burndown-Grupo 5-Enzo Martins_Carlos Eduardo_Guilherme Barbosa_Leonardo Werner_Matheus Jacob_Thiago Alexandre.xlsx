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\OneDrive\Área de Trabalho\"/>
    </mc:Choice>
  </mc:AlternateContent>
  <xr:revisionPtr revIDLastSave="0" documentId="13_ncr:1_{38BBD663-2B8F-404B-A035-3EA7C7743808}" xr6:coauthVersionLast="47" xr6:coauthVersionMax="47" xr10:uidLastSave="{00000000-0000-0000-0000-000000000000}"/>
  <bookViews>
    <workbookView xWindow="-120" yWindow="-120" windowWidth="29040" windowHeight="15720" xr2:uid="{88668B19-0EBA-47FC-AF05-5256D7A9BC46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 a="1"/>
  <c r="N4" i="1" s="1"/>
  <c r="S5" i="1"/>
  <c r="S6" i="1"/>
  <c r="S7" i="1"/>
  <c r="S8" i="1"/>
  <c r="S9" i="1"/>
  <c r="S10" i="1"/>
  <c r="S11" i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S74" i="1" s="1"/>
  <c r="S75" i="1" s="1"/>
  <c r="S76" i="1" s="1"/>
  <c r="S77" i="1" s="1"/>
  <c r="S78" i="1" s="1"/>
  <c r="S79" i="1" s="1"/>
  <c r="S80" i="1" s="1"/>
  <c r="S81" i="1" s="1"/>
  <c r="S82" i="1" s="1"/>
  <c r="S83" i="1" s="1"/>
  <c r="S84" i="1" s="1"/>
  <c r="S85" i="1" s="1"/>
  <c r="S86" i="1" s="1"/>
  <c r="S87" i="1" s="1"/>
  <c r="S88" i="1" s="1"/>
  <c r="S89" i="1" s="1"/>
  <c r="S90" i="1" s="1"/>
  <c r="S91" i="1" s="1"/>
  <c r="S92" i="1" s="1"/>
  <c r="S93" i="1" s="1"/>
  <c r="S94" i="1" s="1"/>
  <c r="S95" i="1" s="1"/>
  <c r="S96" i="1" s="1"/>
  <c r="S97" i="1" s="1"/>
  <c r="S98" i="1" s="1"/>
  <c r="S99" i="1" s="1"/>
  <c r="S100" i="1" s="1"/>
  <c r="S101" i="1" s="1"/>
  <c r="S102" i="1" s="1"/>
  <c r="S103" i="1" s="1"/>
  <c r="S104" i="1" s="1"/>
  <c r="S105" i="1" s="1"/>
  <c r="S106" i="1" s="1"/>
  <c r="S107" i="1" s="1"/>
  <c r="S108" i="1" s="1"/>
  <c r="S109" i="1" s="1"/>
  <c r="S110" i="1" s="1"/>
  <c r="S111" i="1" s="1"/>
  <c r="S112" i="1" s="1"/>
  <c r="S113" i="1" s="1"/>
  <c r="S114" i="1" s="1"/>
  <c r="S115" i="1" s="1"/>
  <c r="S116" i="1" s="1"/>
  <c r="S117" i="1" s="1"/>
  <c r="S4" i="1"/>
  <c r="B8" i="1"/>
  <c r="B10" i="1" s="1"/>
  <c r="R3" i="1" l="1"/>
  <c r="R4" i="1" s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O113" i="1"/>
  <c r="O110" i="1"/>
  <c r="O107" i="1"/>
  <c r="O105" i="1"/>
  <c r="O103" i="1"/>
  <c r="O98" i="1"/>
  <c r="O90" i="1"/>
  <c r="O80" i="1"/>
  <c r="O77" i="1"/>
  <c r="O55" i="1"/>
  <c r="O115" i="1"/>
  <c r="O112" i="1"/>
  <c r="O100" i="1"/>
  <c r="O97" i="1"/>
  <c r="O88" i="1"/>
  <c r="O85" i="1"/>
  <c r="O81" i="1"/>
  <c r="O75" i="1"/>
  <c r="O41" i="1"/>
  <c r="O93" i="1"/>
  <c r="O91" i="1"/>
  <c r="O78" i="1"/>
  <c r="O72" i="1"/>
  <c r="O68" i="1"/>
  <c r="O62" i="1"/>
  <c r="O52" i="1"/>
  <c r="O50" i="1"/>
  <c r="O46" i="1"/>
  <c r="O43" i="1"/>
  <c r="O40" i="1"/>
  <c r="O39" i="1"/>
  <c r="O38" i="1"/>
  <c r="O37" i="1"/>
  <c r="O36" i="1"/>
  <c r="O35" i="1"/>
  <c r="O34" i="1"/>
  <c r="O116" i="1"/>
  <c r="O114" i="1"/>
  <c r="O111" i="1"/>
  <c r="O109" i="1"/>
  <c r="O104" i="1"/>
  <c r="O99" i="1"/>
  <c r="O96" i="1"/>
  <c r="O89" i="1"/>
  <c r="O87" i="1"/>
  <c r="O84" i="1"/>
  <c r="O79" i="1"/>
  <c r="O73" i="1"/>
  <c r="O71" i="1"/>
  <c r="O65" i="1"/>
  <c r="O61" i="1"/>
  <c r="O58" i="1"/>
  <c r="O54" i="1"/>
  <c r="O51" i="1"/>
  <c r="O45" i="1"/>
  <c r="O42" i="1"/>
  <c r="O33" i="1"/>
  <c r="O32" i="1"/>
  <c r="O31" i="1"/>
  <c r="O30" i="1"/>
  <c r="O29" i="1"/>
  <c r="O28" i="1"/>
  <c r="O108" i="1"/>
  <c r="O106" i="1"/>
  <c r="O102" i="1"/>
  <c r="O83" i="1"/>
  <c r="O70" i="1"/>
  <c r="O67" i="1"/>
  <c r="O64" i="1"/>
  <c r="O60" i="1"/>
  <c r="O57" i="1"/>
  <c r="O49" i="1"/>
  <c r="O47" i="1"/>
  <c r="O27" i="1"/>
  <c r="O26" i="1"/>
  <c r="O25" i="1"/>
  <c r="O24" i="1"/>
  <c r="O23" i="1"/>
  <c r="O22" i="1"/>
  <c r="O9" i="1"/>
  <c r="O117" i="1"/>
  <c r="O101" i="1"/>
  <c r="O95" i="1"/>
  <c r="O94" i="1"/>
  <c r="O92" i="1"/>
  <c r="O86" i="1"/>
  <c r="O82" i="1"/>
  <c r="O76" i="1"/>
  <c r="O74" i="1"/>
  <c r="O69" i="1"/>
  <c r="O66" i="1"/>
  <c r="O63" i="1"/>
  <c r="O59" i="1"/>
  <c r="O56" i="1"/>
  <c r="O53" i="1"/>
  <c r="O48" i="1"/>
  <c r="O44" i="1"/>
  <c r="O8" i="1"/>
  <c r="O7" i="1"/>
  <c r="O6" i="1"/>
  <c r="O5" i="1"/>
  <c r="O4" i="1"/>
  <c r="O10" i="1"/>
  <c r="O11" i="1"/>
  <c r="O12" i="1"/>
  <c r="O13" i="1"/>
  <c r="O14" i="1"/>
  <c r="O15" i="1"/>
  <c r="O16" i="1"/>
  <c r="O17" i="1"/>
  <c r="O18" i="1"/>
  <c r="O19" i="1"/>
  <c r="O20" i="1"/>
  <c r="O21" i="1"/>
  <c r="P3" i="1"/>
  <c r="P4" i="1" l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<sst xmlns="http://schemas.openxmlformats.org/spreadsheetml/2006/main" count="241" uniqueCount="116">
  <si>
    <t>Projeto no github</t>
  </si>
  <si>
    <t>Contexto de negócio</t>
  </si>
  <si>
    <t>Justificativa do projeto</t>
  </si>
  <si>
    <t>Diagrama de visão de negócio</t>
  </si>
  <si>
    <t>Protótipo do site</t>
  </si>
  <si>
    <t>Tela de simulador financeiro</t>
  </si>
  <si>
    <t>Ferramenta de gestão de projeto</t>
  </si>
  <si>
    <t>Requisitos populados na ferramenta</t>
  </si>
  <si>
    <t>Documentação Inicial do projeto</t>
  </si>
  <si>
    <t>Tabelas criadas no MySql</t>
  </si>
  <si>
    <t>Execução de script de inserção</t>
  </si>
  <si>
    <t>Execução de script de consulta</t>
  </si>
  <si>
    <t>Ligar Arduino</t>
  </si>
  <si>
    <t>Rodar Código Arduino</t>
  </si>
  <si>
    <t>Setup de Cliente de virtualização</t>
  </si>
  <si>
    <t>Linux instalado na VM Local</t>
  </si>
  <si>
    <t>Requisito</t>
  </si>
  <si>
    <t>Descrição</t>
  </si>
  <si>
    <t>Classificação</t>
  </si>
  <si>
    <t>Tamanho</t>
  </si>
  <si>
    <t>Pontos</t>
  </si>
  <si>
    <t>Prioridade</t>
  </si>
  <si>
    <t>Sprint</t>
  </si>
  <si>
    <t>Resp</t>
  </si>
  <si>
    <t>Atualizar github/documentação</t>
  </si>
  <si>
    <t>Planilha de riscos do projeto</t>
  </si>
  <si>
    <t>Especificação da dashboard</t>
  </si>
  <si>
    <t>Site estático institucional</t>
  </si>
  <si>
    <t>Site estático dashboard</t>
  </si>
  <si>
    <t>Site estático cadastro e login</t>
  </si>
  <si>
    <t>Diagrama de solução</t>
  </si>
  <si>
    <t>Atividades organizadas na ferramenta</t>
  </si>
  <si>
    <t>BackLog da sprint</t>
  </si>
  <si>
    <t>Modelagem lógica do projeto v1</t>
  </si>
  <si>
    <t>Script de criação do Banco / Tabelas criadas</t>
  </si>
  <si>
    <t>Teste com sensor do projeto + Gráficos</t>
  </si>
  <si>
    <t>Usar API Local/Sensor</t>
  </si>
  <si>
    <t>Instalar MySQL no servidor de dados</t>
  </si>
  <si>
    <t>Inserção de dados do arduino no MySQL</t>
  </si>
  <si>
    <t>Validar a solução técnica + diagrama da solução</t>
  </si>
  <si>
    <t>Criar github do projeto e subir arquivos</t>
  </si>
  <si>
    <t>Contextualizar o projeto na documentação</t>
  </si>
  <si>
    <t>Justificar o projeto na documentação</t>
  </si>
  <si>
    <t>Desenvolver diagrama de visão de negócio</t>
  </si>
  <si>
    <t>Desenvolver protítipo do site no figma</t>
  </si>
  <si>
    <t>Desenvolver tela de simulador financeiro</t>
  </si>
  <si>
    <t>Utilizar ferramenta de gestão de projeto (Trello)</t>
  </si>
  <si>
    <t>Adicionar os requisitos na ferramenta de gestão</t>
  </si>
  <si>
    <t>Desenvolver a primeira versão da documentação</t>
  </si>
  <si>
    <t>Criar tableas no banco de dados</t>
  </si>
  <si>
    <t>Executar scripts de inserção baseado nas tabelas criadas</t>
  </si>
  <si>
    <t>Executar scripts de consulta baseado nas inserções feitas</t>
  </si>
  <si>
    <t>Ligar e testar arduino</t>
  </si>
  <si>
    <t>Testar o código do arduino</t>
  </si>
  <si>
    <t>Instalar VirtualBox</t>
  </si>
  <si>
    <t>Instalar linux na VirtualBox</t>
  </si>
  <si>
    <t>SP01</t>
  </si>
  <si>
    <t>Importante</t>
  </si>
  <si>
    <t>Essencial</t>
  </si>
  <si>
    <t>PP</t>
  </si>
  <si>
    <t>M</t>
  </si>
  <si>
    <t>G</t>
  </si>
  <si>
    <t>P</t>
  </si>
  <si>
    <t xml:space="preserve">P </t>
  </si>
  <si>
    <t>GG</t>
  </si>
  <si>
    <t>Carlos</t>
  </si>
  <si>
    <t>Leonardo</t>
  </si>
  <si>
    <t>Guilherme</t>
  </si>
  <si>
    <t>Matheus</t>
  </si>
  <si>
    <t>Thiago</t>
  </si>
  <si>
    <t>Enzo</t>
  </si>
  <si>
    <t>Grupo</t>
  </si>
  <si>
    <t xml:space="preserve">Atualizar github e a primeira versão da documentação </t>
  </si>
  <si>
    <t>Desenvolver planilha de riscos do projeto</t>
  </si>
  <si>
    <t>Desenvolver diagrama de solução</t>
  </si>
  <si>
    <t>Especificar conteúdo da dashboard</t>
  </si>
  <si>
    <t>Desenvolver site institucional baseado no figma</t>
  </si>
  <si>
    <t>Desenvolver site da dashboard baseado no figma</t>
  </si>
  <si>
    <t>Desenvolver site de cadastro e login baseado no figma</t>
  </si>
  <si>
    <t>Organizar requisitos no Trello</t>
  </si>
  <si>
    <t>Desenvolver backlog dos requisitos</t>
  </si>
  <si>
    <t>Modelar o banco de dados do projeto</t>
  </si>
  <si>
    <t>Criar tabelas no banco de dados do projeto</t>
  </si>
  <si>
    <t>Testar sensor e gráficos exibidos</t>
  </si>
  <si>
    <t>Utilizar API do sensor</t>
  </si>
  <si>
    <t>Instalar MySQL na VM</t>
  </si>
  <si>
    <t>Inserir dados no MySQL instalado na VM</t>
  </si>
  <si>
    <t>Validar solução com o professor Matheus</t>
  </si>
  <si>
    <t>SP02</t>
  </si>
  <si>
    <t>Desejável</t>
  </si>
  <si>
    <t>Fluxograma do suporte</t>
  </si>
  <si>
    <t>Ferramenta de Help Desk</t>
  </si>
  <si>
    <t>Documento de Mudança</t>
  </si>
  <si>
    <t>Modelagem Lógica e Script SQL Server</t>
  </si>
  <si>
    <t>View</t>
  </si>
  <si>
    <t>Desenvolver fluxograma do processo de suporte</t>
  </si>
  <si>
    <t>Desenvolver ferramenta de apoio</t>
  </si>
  <si>
    <t>Desenvolver documento de mudança</t>
  </si>
  <si>
    <t>Desenvolver última versão da modelagem lógica e script</t>
  </si>
  <si>
    <t>Desevolver view para Banco de Dados</t>
  </si>
  <si>
    <t>SP03</t>
  </si>
  <si>
    <t>Pontos a Serem Entregues</t>
  </si>
  <si>
    <t>Prazo de Término (DIAS)</t>
  </si>
  <si>
    <t>Média Ideal por Dias</t>
  </si>
  <si>
    <t>Dias</t>
  </si>
  <si>
    <t>Meta Dia</t>
  </si>
  <si>
    <t>Meta Ideal</t>
  </si>
  <si>
    <t>Realizado Dia Ideal</t>
  </si>
  <si>
    <t>Pendente</t>
  </si>
  <si>
    <t>Data</t>
  </si>
  <si>
    <t>SPRINT</t>
  </si>
  <si>
    <t>SPRINT1</t>
  </si>
  <si>
    <t>SPRINT2</t>
  </si>
  <si>
    <t>SPRINT3</t>
  </si>
  <si>
    <t>INTERVALO ASSUMIDO</t>
  </si>
  <si>
    <t>10/02/26 - 03/06/26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</si>
</sst>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14" fontId="0" fillId="5" borderId="3" xfId="0" applyNumberFormat="1" applyFill="1" applyBorder="1" applyAlignment="1">
      <alignment horizontal="center"/>
    </xf>
    <xf numFmtId="14" fontId="0" fillId="6" borderId="3" xfId="0" applyNumberFormat="1" applyFill="1" applyBorder="1" applyAlignment="1">
      <alignment horizontal="center"/>
    </xf>
    <xf numFmtId="14" fontId="0" fillId="7" borderId="3" xfId="0" applyNumberFormat="1" applyFill="1" applyBorder="1" applyAlignment="1">
      <alignment horizontal="center"/>
    </xf>
    <xf numFmtId="0" fontId="0" fillId="8" borderId="2" xfId="0" applyFill="1" applyBorder="1"/>
    <xf numFmtId="0" fontId="0" fillId="9" borderId="2" xfId="0" applyFill="1" applyBorder="1"/>
    <xf numFmtId="0" fontId="0" fillId="10" borderId="2" xfId="0" applyFill="1" applyBorder="1"/>
    <xf numFmtId="0" fontId="0" fillId="6" borderId="2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15" borderId="3" xfId="0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</a:t>
            </a:r>
            <a:r>
              <a:rPr lang="pt-BR" baseline="0"/>
              <a:t> de Burnwdown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Meta Ideal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Planilha1!$P$3:$P$117</c:f>
              <c:numCache>
                <c:formatCode>General</c:formatCode>
                <c:ptCount val="115"/>
                <c:pt idx="0">
                  <c:v>272</c:v>
                </c:pt>
                <c:pt idx="1">
                  <c:v>269</c:v>
                </c:pt>
                <c:pt idx="2">
                  <c:v>266</c:v>
                </c:pt>
                <c:pt idx="3">
                  <c:v>263</c:v>
                </c:pt>
                <c:pt idx="4">
                  <c:v>260</c:v>
                </c:pt>
                <c:pt idx="5">
                  <c:v>257</c:v>
                </c:pt>
                <c:pt idx="6">
                  <c:v>254</c:v>
                </c:pt>
                <c:pt idx="7">
                  <c:v>251</c:v>
                </c:pt>
                <c:pt idx="8">
                  <c:v>248</c:v>
                </c:pt>
                <c:pt idx="9">
                  <c:v>245</c:v>
                </c:pt>
                <c:pt idx="10">
                  <c:v>242</c:v>
                </c:pt>
                <c:pt idx="11">
                  <c:v>239</c:v>
                </c:pt>
                <c:pt idx="12">
                  <c:v>236</c:v>
                </c:pt>
                <c:pt idx="13">
                  <c:v>233</c:v>
                </c:pt>
                <c:pt idx="14">
                  <c:v>230</c:v>
                </c:pt>
                <c:pt idx="15">
                  <c:v>227</c:v>
                </c:pt>
                <c:pt idx="16">
                  <c:v>224</c:v>
                </c:pt>
                <c:pt idx="17">
                  <c:v>221</c:v>
                </c:pt>
                <c:pt idx="18">
                  <c:v>218</c:v>
                </c:pt>
                <c:pt idx="19">
                  <c:v>215</c:v>
                </c:pt>
                <c:pt idx="20">
                  <c:v>212</c:v>
                </c:pt>
                <c:pt idx="21">
                  <c:v>209</c:v>
                </c:pt>
                <c:pt idx="22">
                  <c:v>206</c:v>
                </c:pt>
                <c:pt idx="23">
                  <c:v>203</c:v>
                </c:pt>
                <c:pt idx="24">
                  <c:v>200</c:v>
                </c:pt>
                <c:pt idx="25">
                  <c:v>197</c:v>
                </c:pt>
                <c:pt idx="26">
                  <c:v>194</c:v>
                </c:pt>
                <c:pt idx="27">
                  <c:v>191</c:v>
                </c:pt>
                <c:pt idx="28">
                  <c:v>188</c:v>
                </c:pt>
                <c:pt idx="29">
                  <c:v>185</c:v>
                </c:pt>
                <c:pt idx="30">
                  <c:v>182</c:v>
                </c:pt>
                <c:pt idx="31">
                  <c:v>179</c:v>
                </c:pt>
                <c:pt idx="32">
                  <c:v>176</c:v>
                </c:pt>
                <c:pt idx="33">
                  <c:v>173</c:v>
                </c:pt>
                <c:pt idx="34">
                  <c:v>170</c:v>
                </c:pt>
                <c:pt idx="35">
                  <c:v>167</c:v>
                </c:pt>
                <c:pt idx="36">
                  <c:v>164</c:v>
                </c:pt>
                <c:pt idx="37">
                  <c:v>161</c:v>
                </c:pt>
                <c:pt idx="38">
                  <c:v>158</c:v>
                </c:pt>
                <c:pt idx="39">
                  <c:v>155</c:v>
                </c:pt>
                <c:pt idx="40">
                  <c:v>152</c:v>
                </c:pt>
                <c:pt idx="41">
                  <c:v>149</c:v>
                </c:pt>
                <c:pt idx="42">
                  <c:v>146</c:v>
                </c:pt>
                <c:pt idx="43">
                  <c:v>143</c:v>
                </c:pt>
                <c:pt idx="44">
                  <c:v>140</c:v>
                </c:pt>
                <c:pt idx="45">
                  <c:v>137</c:v>
                </c:pt>
                <c:pt idx="46">
                  <c:v>134</c:v>
                </c:pt>
                <c:pt idx="47">
                  <c:v>131</c:v>
                </c:pt>
                <c:pt idx="48">
                  <c:v>128</c:v>
                </c:pt>
                <c:pt idx="49">
                  <c:v>125</c:v>
                </c:pt>
                <c:pt idx="50">
                  <c:v>122</c:v>
                </c:pt>
                <c:pt idx="51">
                  <c:v>119</c:v>
                </c:pt>
                <c:pt idx="52">
                  <c:v>116</c:v>
                </c:pt>
                <c:pt idx="53">
                  <c:v>113</c:v>
                </c:pt>
                <c:pt idx="54">
                  <c:v>110</c:v>
                </c:pt>
                <c:pt idx="55">
                  <c:v>107</c:v>
                </c:pt>
                <c:pt idx="56">
                  <c:v>104</c:v>
                </c:pt>
                <c:pt idx="57">
                  <c:v>101</c:v>
                </c:pt>
                <c:pt idx="58">
                  <c:v>98</c:v>
                </c:pt>
                <c:pt idx="59">
                  <c:v>95</c:v>
                </c:pt>
                <c:pt idx="60">
                  <c:v>92</c:v>
                </c:pt>
                <c:pt idx="61">
                  <c:v>89</c:v>
                </c:pt>
                <c:pt idx="62">
                  <c:v>86</c:v>
                </c:pt>
                <c:pt idx="63">
                  <c:v>83</c:v>
                </c:pt>
                <c:pt idx="64">
                  <c:v>80</c:v>
                </c:pt>
                <c:pt idx="65">
                  <c:v>77</c:v>
                </c:pt>
                <c:pt idx="66">
                  <c:v>74</c:v>
                </c:pt>
                <c:pt idx="67">
                  <c:v>71</c:v>
                </c:pt>
                <c:pt idx="68">
                  <c:v>68</c:v>
                </c:pt>
                <c:pt idx="69">
                  <c:v>65</c:v>
                </c:pt>
                <c:pt idx="70">
                  <c:v>62</c:v>
                </c:pt>
                <c:pt idx="71">
                  <c:v>59</c:v>
                </c:pt>
                <c:pt idx="72">
                  <c:v>56</c:v>
                </c:pt>
                <c:pt idx="73">
                  <c:v>53</c:v>
                </c:pt>
                <c:pt idx="74">
                  <c:v>50</c:v>
                </c:pt>
                <c:pt idx="75">
                  <c:v>47</c:v>
                </c:pt>
                <c:pt idx="76">
                  <c:v>44</c:v>
                </c:pt>
                <c:pt idx="77">
                  <c:v>41</c:v>
                </c:pt>
                <c:pt idx="78">
                  <c:v>38</c:v>
                </c:pt>
                <c:pt idx="79">
                  <c:v>35</c:v>
                </c:pt>
                <c:pt idx="80">
                  <c:v>32</c:v>
                </c:pt>
                <c:pt idx="81">
                  <c:v>29</c:v>
                </c:pt>
                <c:pt idx="82">
                  <c:v>26</c:v>
                </c:pt>
                <c:pt idx="83">
                  <c:v>23</c:v>
                </c:pt>
                <c:pt idx="84">
                  <c:v>20</c:v>
                </c:pt>
                <c:pt idx="85">
                  <c:v>17</c:v>
                </c:pt>
                <c:pt idx="86">
                  <c:v>14</c:v>
                </c:pt>
                <c:pt idx="87">
                  <c:v>11</c:v>
                </c:pt>
                <c:pt idx="88">
                  <c:v>8</c:v>
                </c:pt>
                <c:pt idx="89">
                  <c:v>5</c:v>
                </c:pt>
                <c:pt idx="90">
                  <c:v>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B-431C-A1EB-63A447025E13}"/>
            </c:ext>
          </c:extLst>
        </c:ser>
        <c:ser>
          <c:idx val="1"/>
          <c:order val="1"/>
          <c:tx>
            <c:v>Pendente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Planilha1!$R$3:$R$117</c:f>
              <c:numCache>
                <c:formatCode>General</c:formatCode>
                <c:ptCount val="115"/>
                <c:pt idx="0">
                  <c:v>272</c:v>
                </c:pt>
                <c:pt idx="1">
                  <c:v>272</c:v>
                </c:pt>
                <c:pt idx="2">
                  <c:v>272</c:v>
                </c:pt>
                <c:pt idx="3">
                  <c:v>270</c:v>
                </c:pt>
                <c:pt idx="4">
                  <c:v>270</c:v>
                </c:pt>
                <c:pt idx="5">
                  <c:v>267</c:v>
                </c:pt>
                <c:pt idx="6">
                  <c:v>266</c:v>
                </c:pt>
                <c:pt idx="7">
                  <c:v>262</c:v>
                </c:pt>
                <c:pt idx="8">
                  <c:v>262</c:v>
                </c:pt>
                <c:pt idx="9">
                  <c:v>257</c:v>
                </c:pt>
                <c:pt idx="10">
                  <c:v>255</c:v>
                </c:pt>
                <c:pt idx="11">
                  <c:v>249</c:v>
                </c:pt>
                <c:pt idx="12">
                  <c:v>249</c:v>
                </c:pt>
                <c:pt idx="13">
                  <c:v>242</c:v>
                </c:pt>
                <c:pt idx="14">
                  <c:v>239</c:v>
                </c:pt>
                <c:pt idx="15">
                  <c:v>231</c:v>
                </c:pt>
                <c:pt idx="16">
                  <c:v>231</c:v>
                </c:pt>
                <c:pt idx="17">
                  <c:v>222</c:v>
                </c:pt>
                <c:pt idx="18">
                  <c:v>218</c:v>
                </c:pt>
                <c:pt idx="19">
                  <c:v>208</c:v>
                </c:pt>
                <c:pt idx="20">
                  <c:v>208</c:v>
                </c:pt>
                <c:pt idx="21">
                  <c:v>200</c:v>
                </c:pt>
                <c:pt idx="22">
                  <c:v>194</c:v>
                </c:pt>
                <c:pt idx="23">
                  <c:v>185</c:v>
                </c:pt>
                <c:pt idx="24">
                  <c:v>185</c:v>
                </c:pt>
                <c:pt idx="25">
                  <c:v>178</c:v>
                </c:pt>
                <c:pt idx="26">
                  <c:v>173</c:v>
                </c:pt>
                <c:pt idx="27">
                  <c:v>167</c:v>
                </c:pt>
                <c:pt idx="28">
                  <c:v>167</c:v>
                </c:pt>
                <c:pt idx="29">
                  <c:v>163</c:v>
                </c:pt>
                <c:pt idx="30">
                  <c:v>160</c:v>
                </c:pt>
                <c:pt idx="31">
                  <c:v>159</c:v>
                </c:pt>
                <c:pt idx="32">
                  <c:v>159</c:v>
                </c:pt>
                <c:pt idx="33">
                  <c:v>159</c:v>
                </c:pt>
                <c:pt idx="34">
                  <c:v>159</c:v>
                </c:pt>
                <c:pt idx="35">
                  <c:v>151</c:v>
                </c:pt>
                <c:pt idx="36">
                  <c:v>151</c:v>
                </c:pt>
                <c:pt idx="37">
                  <c:v>145</c:v>
                </c:pt>
                <c:pt idx="38">
                  <c:v>145</c:v>
                </c:pt>
                <c:pt idx="39">
                  <c:v>137</c:v>
                </c:pt>
                <c:pt idx="40">
                  <c:v>129</c:v>
                </c:pt>
                <c:pt idx="41">
                  <c:v>129</c:v>
                </c:pt>
                <c:pt idx="42">
                  <c:v>121</c:v>
                </c:pt>
                <c:pt idx="43">
                  <c:v>111</c:v>
                </c:pt>
                <c:pt idx="44">
                  <c:v>111</c:v>
                </c:pt>
                <c:pt idx="45">
                  <c:v>111</c:v>
                </c:pt>
                <c:pt idx="46">
                  <c:v>111</c:v>
                </c:pt>
                <c:pt idx="47">
                  <c:v>111</c:v>
                </c:pt>
                <c:pt idx="48">
                  <c:v>111</c:v>
                </c:pt>
                <c:pt idx="49">
                  <c:v>111</c:v>
                </c:pt>
                <c:pt idx="50">
                  <c:v>111</c:v>
                </c:pt>
                <c:pt idx="51">
                  <c:v>103</c:v>
                </c:pt>
                <c:pt idx="52">
                  <c:v>103</c:v>
                </c:pt>
                <c:pt idx="53">
                  <c:v>103</c:v>
                </c:pt>
                <c:pt idx="54">
                  <c:v>103</c:v>
                </c:pt>
                <c:pt idx="55">
                  <c:v>103</c:v>
                </c:pt>
                <c:pt idx="56">
                  <c:v>103</c:v>
                </c:pt>
                <c:pt idx="57">
                  <c:v>103</c:v>
                </c:pt>
                <c:pt idx="58">
                  <c:v>103</c:v>
                </c:pt>
                <c:pt idx="59">
                  <c:v>103</c:v>
                </c:pt>
                <c:pt idx="60">
                  <c:v>103</c:v>
                </c:pt>
                <c:pt idx="61">
                  <c:v>103</c:v>
                </c:pt>
                <c:pt idx="62">
                  <c:v>103</c:v>
                </c:pt>
                <c:pt idx="63">
                  <c:v>103</c:v>
                </c:pt>
                <c:pt idx="64">
                  <c:v>103</c:v>
                </c:pt>
                <c:pt idx="65">
                  <c:v>103</c:v>
                </c:pt>
                <c:pt idx="66">
                  <c:v>103</c:v>
                </c:pt>
                <c:pt idx="67">
                  <c:v>103</c:v>
                </c:pt>
                <c:pt idx="68">
                  <c:v>103</c:v>
                </c:pt>
                <c:pt idx="69">
                  <c:v>103</c:v>
                </c:pt>
                <c:pt idx="70">
                  <c:v>103</c:v>
                </c:pt>
                <c:pt idx="71">
                  <c:v>103</c:v>
                </c:pt>
                <c:pt idx="72">
                  <c:v>103</c:v>
                </c:pt>
                <c:pt idx="73">
                  <c:v>103</c:v>
                </c:pt>
                <c:pt idx="74">
                  <c:v>103</c:v>
                </c:pt>
                <c:pt idx="75">
                  <c:v>103</c:v>
                </c:pt>
                <c:pt idx="76">
                  <c:v>103</c:v>
                </c:pt>
                <c:pt idx="77">
                  <c:v>103</c:v>
                </c:pt>
                <c:pt idx="78">
                  <c:v>103</c:v>
                </c:pt>
                <c:pt idx="79">
                  <c:v>103</c:v>
                </c:pt>
                <c:pt idx="80">
                  <c:v>103</c:v>
                </c:pt>
                <c:pt idx="81">
                  <c:v>103</c:v>
                </c:pt>
                <c:pt idx="82">
                  <c:v>103</c:v>
                </c:pt>
                <c:pt idx="83">
                  <c:v>103</c:v>
                </c:pt>
                <c:pt idx="84">
                  <c:v>103</c:v>
                </c:pt>
                <c:pt idx="85">
                  <c:v>103</c:v>
                </c:pt>
                <c:pt idx="86">
                  <c:v>103</c:v>
                </c:pt>
                <c:pt idx="87">
                  <c:v>103</c:v>
                </c:pt>
                <c:pt idx="88">
                  <c:v>103</c:v>
                </c:pt>
                <c:pt idx="89">
                  <c:v>103</c:v>
                </c:pt>
                <c:pt idx="90">
                  <c:v>103</c:v>
                </c:pt>
                <c:pt idx="91">
                  <c:v>103</c:v>
                </c:pt>
                <c:pt idx="92">
                  <c:v>103</c:v>
                </c:pt>
                <c:pt idx="93">
                  <c:v>103</c:v>
                </c:pt>
                <c:pt idx="94">
                  <c:v>103</c:v>
                </c:pt>
                <c:pt idx="95">
                  <c:v>103</c:v>
                </c:pt>
                <c:pt idx="96">
                  <c:v>103</c:v>
                </c:pt>
                <c:pt idx="97">
                  <c:v>103</c:v>
                </c:pt>
                <c:pt idx="98">
                  <c:v>103</c:v>
                </c:pt>
                <c:pt idx="99">
                  <c:v>103</c:v>
                </c:pt>
                <c:pt idx="100">
                  <c:v>103</c:v>
                </c:pt>
                <c:pt idx="101">
                  <c:v>103</c:v>
                </c:pt>
                <c:pt idx="102">
                  <c:v>103</c:v>
                </c:pt>
                <c:pt idx="103">
                  <c:v>103</c:v>
                </c:pt>
                <c:pt idx="104">
                  <c:v>103</c:v>
                </c:pt>
                <c:pt idx="105">
                  <c:v>103</c:v>
                </c:pt>
                <c:pt idx="106">
                  <c:v>103</c:v>
                </c:pt>
                <c:pt idx="107">
                  <c:v>103</c:v>
                </c:pt>
                <c:pt idx="108">
                  <c:v>103</c:v>
                </c:pt>
                <c:pt idx="109">
                  <c:v>103</c:v>
                </c:pt>
                <c:pt idx="110">
                  <c:v>103</c:v>
                </c:pt>
                <c:pt idx="111">
                  <c:v>103</c:v>
                </c:pt>
                <c:pt idx="112">
                  <c:v>103</c:v>
                </c:pt>
                <c:pt idx="113">
                  <c:v>103</c:v>
                </c:pt>
                <c:pt idx="114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6B-431C-A1EB-63A447025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2033779343"/>
        <c:axId val="2033781263"/>
      </c:lineChart>
      <c:catAx>
        <c:axId val="2033779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600"/>
                  <a:t>Dias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3781263"/>
        <c:crosses val="autoZero"/>
        <c:auto val="1"/>
        <c:lblAlgn val="ctr"/>
        <c:lblOffset val="100"/>
        <c:noMultiLvlLbl val="0"/>
      </c:catAx>
      <c:valAx>
        <c:axId val="203378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/>
                  <a:t>Pontos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377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599515</xdr:colOff>
      <xdr:row>39</xdr:row>
      <xdr:rowOff>169208</xdr:rowOff>
    </xdr:from>
    <xdr:to>
      <xdr:col>11</xdr:col>
      <xdr:colOff>997323</xdr:colOff>
      <xdr:row>62</xdr:row>
      <xdr:rowOff>11206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DE7A8D6-70E4-917E-B829-328A6B8B2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the\OneDrive\&#193;rea%20de%20Trabalho\burndown_pronto.xlsx" TargetMode="External"/><Relationship Id="rId1" Type="http://schemas.openxmlformats.org/officeDocument/2006/relationships/externalLinkPath" Target="burndown_pron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</sheetNames>
    <sheetDataSet>
      <sheetData sheetId="0">
        <row r="1">
          <cell r="N1" t="str">
            <v>Meta Ideal</v>
          </cell>
          <cell r="O1" t="str">
            <v>Pendente</v>
          </cell>
        </row>
        <row r="2">
          <cell r="M2">
            <v>0</v>
          </cell>
          <cell r="N2">
            <v>360</v>
          </cell>
          <cell r="O2">
            <v>370</v>
          </cell>
        </row>
        <row r="3">
          <cell r="M3">
            <v>1</v>
          </cell>
          <cell r="N3">
            <v>348</v>
          </cell>
          <cell r="O3">
            <v>358</v>
          </cell>
        </row>
        <row r="4">
          <cell r="M4">
            <v>2</v>
          </cell>
          <cell r="N4">
            <v>336</v>
          </cell>
          <cell r="O4">
            <v>346</v>
          </cell>
        </row>
        <row r="5">
          <cell r="M5">
            <v>3</v>
          </cell>
          <cell r="N5">
            <v>324</v>
          </cell>
          <cell r="O5">
            <v>334</v>
          </cell>
        </row>
        <row r="6">
          <cell r="M6">
            <v>4</v>
          </cell>
          <cell r="N6">
            <v>312</v>
          </cell>
          <cell r="O6">
            <v>322</v>
          </cell>
        </row>
        <row r="7">
          <cell r="M7">
            <v>5</v>
          </cell>
          <cell r="N7">
            <v>300</v>
          </cell>
          <cell r="O7">
            <v>310</v>
          </cell>
        </row>
        <row r="8">
          <cell r="M8">
            <v>6</v>
          </cell>
          <cell r="N8">
            <v>288</v>
          </cell>
          <cell r="O8">
            <v>298</v>
          </cell>
        </row>
        <row r="9">
          <cell r="M9">
            <v>7</v>
          </cell>
          <cell r="N9">
            <v>276</v>
          </cell>
          <cell r="O9">
            <v>286</v>
          </cell>
        </row>
        <row r="10">
          <cell r="M10">
            <v>8</v>
          </cell>
          <cell r="N10">
            <v>264</v>
          </cell>
          <cell r="O10">
            <v>274</v>
          </cell>
        </row>
        <row r="11">
          <cell r="M11">
            <v>9</v>
          </cell>
          <cell r="N11">
            <v>252</v>
          </cell>
          <cell r="O11">
            <v>262</v>
          </cell>
        </row>
        <row r="12">
          <cell r="M12">
            <v>10</v>
          </cell>
          <cell r="N12">
            <v>240</v>
          </cell>
          <cell r="O12">
            <v>240</v>
          </cell>
        </row>
        <row r="13">
          <cell r="M13">
            <v>11</v>
          </cell>
          <cell r="N13">
            <v>228</v>
          </cell>
          <cell r="O13">
            <v>228</v>
          </cell>
        </row>
        <row r="14">
          <cell r="M14">
            <v>12</v>
          </cell>
          <cell r="N14">
            <v>216</v>
          </cell>
          <cell r="O14">
            <v>216</v>
          </cell>
        </row>
        <row r="15">
          <cell r="M15">
            <v>13</v>
          </cell>
          <cell r="N15">
            <v>204</v>
          </cell>
          <cell r="O15">
            <v>204</v>
          </cell>
        </row>
        <row r="16">
          <cell r="M16">
            <v>14</v>
          </cell>
          <cell r="N16">
            <v>192</v>
          </cell>
          <cell r="O16">
            <v>192</v>
          </cell>
        </row>
        <row r="17">
          <cell r="M17">
            <v>15</v>
          </cell>
          <cell r="N17">
            <v>180</v>
          </cell>
          <cell r="O17">
            <v>180</v>
          </cell>
        </row>
        <row r="18">
          <cell r="M18">
            <v>16</v>
          </cell>
          <cell r="N18">
            <v>168</v>
          </cell>
          <cell r="O18">
            <v>168</v>
          </cell>
        </row>
        <row r="19">
          <cell r="M19">
            <v>17</v>
          </cell>
          <cell r="N19">
            <v>156</v>
          </cell>
          <cell r="O19">
            <v>156</v>
          </cell>
        </row>
        <row r="20">
          <cell r="M20">
            <v>18</v>
          </cell>
          <cell r="N20">
            <v>144</v>
          </cell>
          <cell r="O20">
            <v>144</v>
          </cell>
        </row>
        <row r="21">
          <cell r="M21">
            <v>19</v>
          </cell>
          <cell r="N21">
            <v>132</v>
          </cell>
          <cell r="O21">
            <v>132</v>
          </cell>
        </row>
        <row r="22">
          <cell r="M22">
            <v>20</v>
          </cell>
          <cell r="N22">
            <v>120</v>
          </cell>
          <cell r="O22">
            <v>120</v>
          </cell>
        </row>
        <row r="23">
          <cell r="M23">
            <v>21</v>
          </cell>
          <cell r="N23">
            <v>108</v>
          </cell>
          <cell r="O23">
            <v>98</v>
          </cell>
        </row>
        <row r="24">
          <cell r="M24">
            <v>22</v>
          </cell>
          <cell r="N24">
            <v>96</v>
          </cell>
          <cell r="O24">
            <v>86</v>
          </cell>
        </row>
        <row r="25">
          <cell r="M25">
            <v>23</v>
          </cell>
          <cell r="N25">
            <v>84</v>
          </cell>
          <cell r="O25">
            <v>74</v>
          </cell>
        </row>
        <row r="26">
          <cell r="M26">
            <v>24</v>
          </cell>
          <cell r="N26">
            <v>72</v>
          </cell>
          <cell r="O26">
            <v>62</v>
          </cell>
        </row>
        <row r="27">
          <cell r="M27">
            <v>25</v>
          </cell>
          <cell r="N27">
            <v>60</v>
          </cell>
          <cell r="O27">
            <v>50</v>
          </cell>
        </row>
        <row r="28">
          <cell r="M28">
            <v>26</v>
          </cell>
          <cell r="N28">
            <v>48</v>
          </cell>
          <cell r="O28">
            <v>38</v>
          </cell>
        </row>
        <row r="29">
          <cell r="M29">
            <v>27</v>
          </cell>
          <cell r="N29">
            <v>36</v>
          </cell>
          <cell r="O29">
            <v>26</v>
          </cell>
        </row>
        <row r="30">
          <cell r="M30">
            <v>28</v>
          </cell>
          <cell r="N30">
            <v>24</v>
          </cell>
          <cell r="O30">
            <v>14</v>
          </cell>
        </row>
        <row r="31">
          <cell r="M31">
            <v>29</v>
          </cell>
          <cell r="N31">
            <v>12</v>
          </cell>
          <cell r="O31">
            <v>2</v>
          </cell>
        </row>
        <row r="32">
          <cell r="M32">
            <v>30</v>
          </cell>
          <cell r="N32">
            <v>0</v>
          </cell>
          <cell r="O3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007D4-E79E-4A61-AC31-FF3BEBBC1490}">
  <dimension ref="A2:T118"/>
  <sheetViews>
    <sheetView tabSelected="1" topLeftCell="A3" zoomScale="85" zoomScaleNormal="85" workbookViewId="0">
      <selection activeCell="B15" sqref="B15"/>
    </sheetView>
  </sheetViews>
  <sheetFormatPr defaultRowHeight="15" x14ac:dyDescent="0.25"/>
  <cols>
    <col min="1" max="1" width="28.5703125" customWidth="1"/>
    <col min="2" max="2" width="20" customWidth="1"/>
    <col min="5" max="5" width="45.7109375" customWidth="1"/>
    <col min="6" max="6" width="53.28515625" customWidth="1"/>
    <col min="7" max="7" width="16.28515625" customWidth="1"/>
    <col min="8" max="8" width="15.28515625" customWidth="1"/>
    <col min="9" max="9" width="9.7109375" customWidth="1"/>
    <col min="10" max="10" width="15.7109375" customWidth="1"/>
    <col min="11" max="11" width="12.7109375" customWidth="1"/>
    <col min="12" max="12" width="15.140625" customWidth="1"/>
    <col min="13" max="13" width="8.85546875" customWidth="1"/>
    <col min="14" max="14" width="10.7109375" customWidth="1"/>
    <col min="15" max="15" width="12.7109375" customWidth="1"/>
    <col min="16" max="16" width="17.7109375" customWidth="1"/>
    <col min="17" max="17" width="21" customWidth="1"/>
    <col min="18" max="18" width="13.5703125" customWidth="1"/>
    <col min="19" max="19" width="13.85546875" customWidth="1"/>
    <col min="20" max="20" width="11.7109375" customWidth="1"/>
  </cols>
  <sheetData>
    <row r="2" spans="1:20" ht="15.75" x14ac:dyDescent="0.25">
      <c r="A2" s="23" t="s">
        <v>59</v>
      </c>
      <c r="B2" s="4">
        <v>3</v>
      </c>
      <c r="E2" s="1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N2" s="7" t="s">
        <v>104</v>
      </c>
      <c r="O2" s="7" t="s">
        <v>105</v>
      </c>
      <c r="P2" s="8" t="s">
        <v>106</v>
      </c>
      <c r="Q2" s="7" t="s">
        <v>107</v>
      </c>
      <c r="R2" s="9" t="s">
        <v>108</v>
      </c>
      <c r="S2" s="7" t="s">
        <v>109</v>
      </c>
      <c r="T2" s="10" t="s">
        <v>110</v>
      </c>
    </row>
    <row r="3" spans="1:20" x14ac:dyDescent="0.25">
      <c r="A3" s="24" t="s">
        <v>63</v>
      </c>
      <c r="B3" s="4">
        <v>5</v>
      </c>
      <c r="E3" s="19" t="s">
        <v>0</v>
      </c>
      <c r="F3" s="17" t="s">
        <v>40</v>
      </c>
      <c r="G3" s="20" t="s">
        <v>57</v>
      </c>
      <c r="H3" s="23" t="s">
        <v>59</v>
      </c>
      <c r="I3" s="23">
        <v>3</v>
      </c>
      <c r="J3" s="21">
        <v>3</v>
      </c>
      <c r="K3" s="24" t="s">
        <v>56</v>
      </c>
      <c r="L3" s="4" t="s">
        <v>65</v>
      </c>
      <c r="N3" s="6">
        <v>0</v>
      </c>
      <c r="O3" s="29">
        <v>0</v>
      </c>
      <c r="P3" s="6">
        <f>B8</f>
        <v>272</v>
      </c>
      <c r="Q3" s="6">
        <v>0</v>
      </c>
      <c r="R3" s="6">
        <f>B8</f>
        <v>272</v>
      </c>
      <c r="S3" s="14">
        <v>46063</v>
      </c>
      <c r="T3" s="11" t="s">
        <v>111</v>
      </c>
    </row>
    <row r="4" spans="1:20" x14ac:dyDescent="0.25">
      <c r="A4" s="25" t="s">
        <v>60</v>
      </c>
      <c r="B4" s="4">
        <v>8</v>
      </c>
      <c r="E4" s="19" t="s">
        <v>1</v>
      </c>
      <c r="F4" s="17" t="s">
        <v>41</v>
      </c>
      <c r="G4" s="21" t="s">
        <v>58</v>
      </c>
      <c r="H4" s="25" t="s">
        <v>60</v>
      </c>
      <c r="I4" s="25">
        <v>8</v>
      </c>
      <c r="J4" s="20">
        <v>1</v>
      </c>
      <c r="K4" s="24" t="s">
        <v>56</v>
      </c>
      <c r="L4" s="4" t="s">
        <v>66</v>
      </c>
      <c r="N4" s="6" cm="1">
        <f t="array" ref="N4:N117">_xlfn.SEQUENCE(114)</f>
        <v>1</v>
      </c>
      <c r="O4" s="29">
        <f t="shared" ref="O4:O35" si="0">$B$10</f>
        <v>3</v>
      </c>
      <c r="P4" s="6">
        <f>P3-$O$4</f>
        <v>269</v>
      </c>
      <c r="Q4" s="6">
        <v>0</v>
      </c>
      <c r="R4" s="6">
        <f>R3-Q4</f>
        <v>272</v>
      </c>
      <c r="S4" s="14">
        <f>S3+1</f>
        <v>46064</v>
      </c>
      <c r="T4" s="12" t="s">
        <v>112</v>
      </c>
    </row>
    <row r="5" spans="1:20" x14ac:dyDescent="0.25">
      <c r="A5" s="27" t="s">
        <v>61</v>
      </c>
      <c r="B5" s="4">
        <v>13</v>
      </c>
      <c r="E5" s="19" t="s">
        <v>2</v>
      </c>
      <c r="F5" s="17" t="s">
        <v>42</v>
      </c>
      <c r="G5" s="21" t="s">
        <v>58</v>
      </c>
      <c r="H5" s="27" t="s">
        <v>61</v>
      </c>
      <c r="I5" s="27">
        <v>13</v>
      </c>
      <c r="J5" s="20">
        <v>1</v>
      </c>
      <c r="K5" s="24" t="s">
        <v>56</v>
      </c>
      <c r="L5" s="4" t="s">
        <v>66</v>
      </c>
      <c r="N5" s="6">
        <v>2</v>
      </c>
      <c r="O5" s="29">
        <f t="shared" si="0"/>
        <v>3</v>
      </c>
      <c r="P5" s="6">
        <f t="shared" ref="P5:P68" si="1">P4-$O$4</f>
        <v>266</v>
      </c>
      <c r="Q5" s="6">
        <v>0</v>
      </c>
      <c r="R5" s="6">
        <f>IF(Q5&lt;&gt;"",R4-Q5,R4)</f>
        <v>272</v>
      </c>
      <c r="S5" s="14">
        <f t="shared" ref="S5:S68" si="2">S4+1</f>
        <v>46065</v>
      </c>
      <c r="T5" s="13" t="s">
        <v>113</v>
      </c>
    </row>
    <row r="6" spans="1:20" x14ac:dyDescent="0.25">
      <c r="A6" s="26" t="s">
        <v>64</v>
      </c>
      <c r="B6" s="4">
        <v>21</v>
      </c>
      <c r="E6" s="19" t="s">
        <v>3</v>
      </c>
      <c r="F6" s="17" t="s">
        <v>43</v>
      </c>
      <c r="G6" s="21" t="s">
        <v>58</v>
      </c>
      <c r="H6" s="27" t="s">
        <v>61</v>
      </c>
      <c r="I6" s="27">
        <v>13</v>
      </c>
      <c r="J6" s="20">
        <v>1</v>
      </c>
      <c r="K6" s="24" t="s">
        <v>56</v>
      </c>
      <c r="L6" s="4" t="s">
        <v>67</v>
      </c>
      <c r="N6" s="6">
        <v>3</v>
      </c>
      <c r="O6" s="29">
        <f t="shared" si="0"/>
        <v>3</v>
      </c>
      <c r="P6" s="6">
        <f t="shared" si="1"/>
        <v>263</v>
      </c>
      <c r="Q6" s="6">
        <v>2</v>
      </c>
      <c r="R6" s="6">
        <f t="shared" ref="R6:R69" si="3">IF(Q6&lt;&gt;"",R5-Q6,R5)</f>
        <v>270</v>
      </c>
      <c r="S6" s="14">
        <f t="shared" si="2"/>
        <v>46066</v>
      </c>
    </row>
    <row r="7" spans="1:20" x14ac:dyDescent="0.25">
      <c r="E7" s="19" t="s">
        <v>4</v>
      </c>
      <c r="F7" s="17" t="s">
        <v>44</v>
      </c>
      <c r="G7" s="20" t="s">
        <v>57</v>
      </c>
      <c r="H7" s="27" t="s">
        <v>61</v>
      </c>
      <c r="I7" s="27">
        <v>13</v>
      </c>
      <c r="J7" s="22">
        <v>2</v>
      </c>
      <c r="K7" s="24" t="s">
        <v>56</v>
      </c>
      <c r="L7" s="4" t="s">
        <v>68</v>
      </c>
      <c r="N7" s="6">
        <v>4</v>
      </c>
      <c r="O7" s="29">
        <f t="shared" si="0"/>
        <v>3</v>
      </c>
      <c r="P7" s="6">
        <f t="shared" si="1"/>
        <v>260</v>
      </c>
      <c r="Q7" s="6">
        <v>0</v>
      </c>
      <c r="R7" s="6">
        <f t="shared" si="3"/>
        <v>270</v>
      </c>
      <c r="S7" s="14">
        <f t="shared" si="2"/>
        <v>46067</v>
      </c>
    </row>
    <row r="8" spans="1:20" x14ac:dyDescent="0.25">
      <c r="A8" s="10" t="s">
        <v>101</v>
      </c>
      <c r="B8" s="6">
        <f>SUM(I3:I39)</f>
        <v>272</v>
      </c>
      <c r="E8" s="19" t="s">
        <v>5</v>
      </c>
      <c r="F8" s="17" t="s">
        <v>45</v>
      </c>
      <c r="G8" s="21" t="s">
        <v>58</v>
      </c>
      <c r="H8" s="25" t="s">
        <v>60</v>
      </c>
      <c r="I8" s="25">
        <v>8</v>
      </c>
      <c r="J8" s="20">
        <v>1</v>
      </c>
      <c r="K8" s="24" t="s">
        <v>56</v>
      </c>
      <c r="L8" s="4" t="s">
        <v>69</v>
      </c>
      <c r="N8" s="6">
        <v>5</v>
      </c>
      <c r="O8" s="29">
        <f t="shared" si="0"/>
        <v>3</v>
      </c>
      <c r="P8" s="6">
        <f t="shared" si="1"/>
        <v>257</v>
      </c>
      <c r="Q8" s="6">
        <v>3</v>
      </c>
      <c r="R8" s="6">
        <f t="shared" si="3"/>
        <v>267</v>
      </c>
      <c r="S8" s="14">
        <f t="shared" si="2"/>
        <v>46068</v>
      </c>
    </row>
    <row r="9" spans="1:20" x14ac:dyDescent="0.25">
      <c r="A9" s="10" t="s">
        <v>102</v>
      </c>
      <c r="B9" s="6">
        <v>114</v>
      </c>
      <c r="E9" s="19" t="s">
        <v>6</v>
      </c>
      <c r="F9" s="17" t="s">
        <v>46</v>
      </c>
      <c r="G9" s="20" t="s">
        <v>57</v>
      </c>
      <c r="H9" s="24" t="s">
        <v>62</v>
      </c>
      <c r="I9" s="24">
        <v>5</v>
      </c>
      <c r="J9" s="22">
        <v>2</v>
      </c>
      <c r="K9" s="24" t="s">
        <v>56</v>
      </c>
      <c r="L9" s="4" t="s">
        <v>70</v>
      </c>
      <c r="N9" s="6">
        <v>6</v>
      </c>
      <c r="O9" s="29">
        <f t="shared" si="0"/>
        <v>3</v>
      </c>
      <c r="P9" s="6">
        <f t="shared" si="1"/>
        <v>254</v>
      </c>
      <c r="Q9" s="6">
        <v>1</v>
      </c>
      <c r="R9" s="6">
        <f t="shared" si="3"/>
        <v>266</v>
      </c>
      <c r="S9" s="14">
        <f t="shared" si="2"/>
        <v>46069</v>
      </c>
    </row>
    <row r="10" spans="1:20" x14ac:dyDescent="0.25">
      <c r="A10" s="10" t="s">
        <v>103</v>
      </c>
      <c r="B10" s="6">
        <f>ROUNDUP(B8/B9, 0)</f>
        <v>3</v>
      </c>
      <c r="E10" s="19" t="s">
        <v>7</v>
      </c>
      <c r="F10" s="17" t="s">
        <v>47</v>
      </c>
      <c r="G10" s="20" t="s">
        <v>57</v>
      </c>
      <c r="H10" s="23" t="s">
        <v>59</v>
      </c>
      <c r="I10" s="23">
        <v>3</v>
      </c>
      <c r="J10" s="21">
        <v>3</v>
      </c>
      <c r="K10" s="24" t="s">
        <v>56</v>
      </c>
      <c r="L10" s="4" t="s">
        <v>70</v>
      </c>
      <c r="N10" s="6">
        <v>7</v>
      </c>
      <c r="O10" s="29">
        <f t="shared" si="0"/>
        <v>3</v>
      </c>
      <c r="P10" s="6">
        <f t="shared" si="1"/>
        <v>251</v>
      </c>
      <c r="Q10" s="6">
        <v>4</v>
      </c>
      <c r="R10" s="6">
        <f t="shared" si="3"/>
        <v>262</v>
      </c>
      <c r="S10" s="14">
        <f t="shared" si="2"/>
        <v>46070</v>
      </c>
    </row>
    <row r="11" spans="1:20" x14ac:dyDescent="0.25">
      <c r="A11" s="30" t="s">
        <v>114</v>
      </c>
      <c r="B11" s="6" t="s">
        <v>115</v>
      </c>
      <c r="E11" s="19" t="s">
        <v>8</v>
      </c>
      <c r="F11" s="17" t="s">
        <v>48</v>
      </c>
      <c r="G11" s="21" t="s">
        <v>58</v>
      </c>
      <c r="H11" s="27" t="s">
        <v>61</v>
      </c>
      <c r="I11" s="27">
        <v>13</v>
      </c>
      <c r="J11" s="20">
        <v>1</v>
      </c>
      <c r="K11" s="24" t="s">
        <v>56</v>
      </c>
      <c r="L11" s="4" t="s">
        <v>66</v>
      </c>
      <c r="N11" s="6">
        <v>8</v>
      </c>
      <c r="O11" s="29">
        <f t="shared" si="0"/>
        <v>3</v>
      </c>
      <c r="P11" s="6">
        <f t="shared" si="1"/>
        <v>248</v>
      </c>
      <c r="Q11" s="6">
        <v>0</v>
      </c>
      <c r="R11" s="6">
        <f t="shared" si="3"/>
        <v>262</v>
      </c>
      <c r="S11" s="14">
        <f t="shared" si="2"/>
        <v>46071</v>
      </c>
    </row>
    <row r="12" spans="1:20" x14ac:dyDescent="0.25">
      <c r="E12" s="19" t="s">
        <v>9</v>
      </c>
      <c r="F12" s="17" t="s">
        <v>49</v>
      </c>
      <c r="G12" s="21" t="s">
        <v>58</v>
      </c>
      <c r="H12" s="25" t="s">
        <v>60</v>
      </c>
      <c r="I12" s="25">
        <v>8</v>
      </c>
      <c r="J12" s="20">
        <v>1</v>
      </c>
      <c r="K12" s="24" t="s">
        <v>56</v>
      </c>
      <c r="L12" s="4" t="s">
        <v>67</v>
      </c>
      <c r="N12" s="6">
        <v>9</v>
      </c>
      <c r="O12" s="29">
        <f t="shared" si="0"/>
        <v>3</v>
      </c>
      <c r="P12" s="6">
        <f t="shared" si="1"/>
        <v>245</v>
      </c>
      <c r="Q12" s="6">
        <v>5</v>
      </c>
      <c r="R12" s="6">
        <f t="shared" si="3"/>
        <v>257</v>
      </c>
      <c r="S12" s="14">
        <f t="shared" si="2"/>
        <v>46072</v>
      </c>
    </row>
    <row r="13" spans="1:20" x14ac:dyDescent="0.25">
      <c r="A13" s="5"/>
      <c r="E13" s="19" t="s">
        <v>10</v>
      </c>
      <c r="F13" s="17" t="s">
        <v>50</v>
      </c>
      <c r="G13" s="20" t="s">
        <v>57</v>
      </c>
      <c r="H13" s="24" t="s">
        <v>62</v>
      </c>
      <c r="I13" s="24">
        <v>5</v>
      </c>
      <c r="J13" s="22">
        <v>2</v>
      </c>
      <c r="K13" s="24" t="s">
        <v>56</v>
      </c>
      <c r="L13" s="4" t="s">
        <v>67</v>
      </c>
      <c r="N13" s="6">
        <v>10</v>
      </c>
      <c r="O13" s="29">
        <f t="shared" si="0"/>
        <v>3</v>
      </c>
      <c r="P13" s="6">
        <f t="shared" si="1"/>
        <v>242</v>
      </c>
      <c r="Q13" s="6">
        <v>2</v>
      </c>
      <c r="R13" s="6">
        <f t="shared" si="3"/>
        <v>255</v>
      </c>
      <c r="S13" s="14">
        <f t="shared" si="2"/>
        <v>46073</v>
      </c>
    </row>
    <row r="14" spans="1:20" x14ac:dyDescent="0.25">
      <c r="A14" s="5"/>
      <c r="E14" s="19" t="s">
        <v>11</v>
      </c>
      <c r="F14" s="17" t="s">
        <v>51</v>
      </c>
      <c r="G14" s="20" t="s">
        <v>57</v>
      </c>
      <c r="H14" s="24" t="s">
        <v>62</v>
      </c>
      <c r="I14" s="24">
        <v>5</v>
      </c>
      <c r="J14" s="22">
        <v>2</v>
      </c>
      <c r="K14" s="24" t="s">
        <v>56</v>
      </c>
      <c r="L14" s="4" t="s">
        <v>67</v>
      </c>
      <c r="N14" s="6">
        <v>11</v>
      </c>
      <c r="O14" s="29">
        <f t="shared" si="0"/>
        <v>3</v>
      </c>
      <c r="P14" s="6">
        <f t="shared" si="1"/>
        <v>239</v>
      </c>
      <c r="Q14" s="6">
        <v>6</v>
      </c>
      <c r="R14" s="6">
        <f t="shared" si="3"/>
        <v>249</v>
      </c>
      <c r="S14" s="14">
        <f t="shared" si="2"/>
        <v>46074</v>
      </c>
    </row>
    <row r="15" spans="1:20" x14ac:dyDescent="0.25">
      <c r="E15" s="19" t="s">
        <v>12</v>
      </c>
      <c r="F15" s="17" t="s">
        <v>52</v>
      </c>
      <c r="G15" s="20" t="s">
        <v>57</v>
      </c>
      <c r="H15" s="23" t="s">
        <v>59</v>
      </c>
      <c r="I15" s="23">
        <v>3</v>
      </c>
      <c r="J15" s="21">
        <v>3</v>
      </c>
      <c r="K15" s="24" t="s">
        <v>56</v>
      </c>
      <c r="L15" s="4" t="s">
        <v>71</v>
      </c>
      <c r="N15" s="6">
        <v>12</v>
      </c>
      <c r="O15" s="29">
        <f t="shared" si="0"/>
        <v>3</v>
      </c>
      <c r="P15" s="6">
        <f t="shared" si="1"/>
        <v>236</v>
      </c>
      <c r="Q15" s="6">
        <v>0</v>
      </c>
      <c r="R15" s="6">
        <f t="shared" si="3"/>
        <v>249</v>
      </c>
      <c r="S15" s="14">
        <f t="shared" si="2"/>
        <v>46075</v>
      </c>
    </row>
    <row r="16" spans="1:20" x14ac:dyDescent="0.25">
      <c r="E16" s="19" t="s">
        <v>13</v>
      </c>
      <c r="F16" s="17" t="s">
        <v>53</v>
      </c>
      <c r="G16" s="20" t="s">
        <v>57</v>
      </c>
      <c r="H16" s="24" t="s">
        <v>62</v>
      </c>
      <c r="I16" s="24">
        <v>5</v>
      </c>
      <c r="J16" s="21">
        <v>3</v>
      </c>
      <c r="K16" s="24" t="s">
        <v>56</v>
      </c>
      <c r="L16" s="4" t="s">
        <v>71</v>
      </c>
      <c r="N16" s="6">
        <v>13</v>
      </c>
      <c r="O16" s="29">
        <f t="shared" si="0"/>
        <v>3</v>
      </c>
      <c r="P16" s="6">
        <f t="shared" si="1"/>
        <v>233</v>
      </c>
      <c r="Q16" s="6">
        <v>7</v>
      </c>
      <c r="R16" s="6">
        <f t="shared" si="3"/>
        <v>242</v>
      </c>
      <c r="S16" s="14">
        <f t="shared" si="2"/>
        <v>46076</v>
      </c>
    </row>
    <row r="17" spans="5:19" x14ac:dyDescent="0.25">
      <c r="E17" s="19" t="s">
        <v>14</v>
      </c>
      <c r="F17" s="17" t="s">
        <v>54</v>
      </c>
      <c r="G17" s="21" t="s">
        <v>58</v>
      </c>
      <c r="H17" s="23" t="s">
        <v>59</v>
      </c>
      <c r="I17" s="23">
        <v>3</v>
      </c>
      <c r="J17" s="20">
        <v>1</v>
      </c>
      <c r="K17" s="24" t="s">
        <v>56</v>
      </c>
      <c r="L17" s="4" t="s">
        <v>67</v>
      </c>
      <c r="N17" s="6">
        <v>14</v>
      </c>
      <c r="O17" s="29">
        <f t="shared" si="0"/>
        <v>3</v>
      </c>
      <c r="P17" s="6">
        <f t="shared" si="1"/>
        <v>230</v>
      </c>
      <c r="Q17" s="6">
        <v>3</v>
      </c>
      <c r="R17" s="6">
        <f t="shared" si="3"/>
        <v>239</v>
      </c>
      <c r="S17" s="14">
        <f t="shared" si="2"/>
        <v>46077</v>
      </c>
    </row>
    <row r="18" spans="5:19" x14ac:dyDescent="0.25">
      <c r="E18" s="19" t="s">
        <v>15</v>
      </c>
      <c r="F18" s="17" t="s">
        <v>55</v>
      </c>
      <c r="G18" s="21" t="s">
        <v>58</v>
      </c>
      <c r="H18" s="24" t="s">
        <v>62</v>
      </c>
      <c r="I18" s="24">
        <v>5</v>
      </c>
      <c r="J18" s="20">
        <v>1</v>
      </c>
      <c r="K18" s="24" t="s">
        <v>56</v>
      </c>
      <c r="L18" s="4" t="s">
        <v>67</v>
      </c>
      <c r="N18" s="6">
        <v>15</v>
      </c>
      <c r="O18" s="29">
        <f t="shared" si="0"/>
        <v>3</v>
      </c>
      <c r="P18" s="6">
        <f t="shared" si="1"/>
        <v>227</v>
      </c>
      <c r="Q18" s="6">
        <v>8</v>
      </c>
      <c r="R18" s="6">
        <f t="shared" si="3"/>
        <v>231</v>
      </c>
      <c r="S18" s="14">
        <f t="shared" si="2"/>
        <v>46078</v>
      </c>
    </row>
    <row r="19" spans="5:19" x14ac:dyDescent="0.25">
      <c r="E19" s="19" t="s">
        <v>24</v>
      </c>
      <c r="F19" s="17" t="s">
        <v>72</v>
      </c>
      <c r="G19" s="20" t="s">
        <v>57</v>
      </c>
      <c r="H19" s="23" t="s">
        <v>59</v>
      </c>
      <c r="I19" s="23">
        <v>3</v>
      </c>
      <c r="J19" s="22">
        <v>2</v>
      </c>
      <c r="K19" s="20" t="s">
        <v>88</v>
      </c>
      <c r="L19" s="4" t="s">
        <v>66</v>
      </c>
      <c r="N19" s="6">
        <v>16</v>
      </c>
      <c r="O19" s="29">
        <f t="shared" si="0"/>
        <v>3</v>
      </c>
      <c r="P19" s="6">
        <f t="shared" si="1"/>
        <v>224</v>
      </c>
      <c r="Q19" s="6">
        <v>0</v>
      </c>
      <c r="R19" s="6">
        <f t="shared" si="3"/>
        <v>231</v>
      </c>
      <c r="S19" s="14">
        <f t="shared" si="2"/>
        <v>46079</v>
      </c>
    </row>
    <row r="20" spans="5:19" x14ac:dyDescent="0.25">
      <c r="E20" s="19" t="s">
        <v>25</v>
      </c>
      <c r="F20" s="17" t="s">
        <v>73</v>
      </c>
      <c r="G20" s="20" t="s">
        <v>57</v>
      </c>
      <c r="H20" s="23" t="s">
        <v>59</v>
      </c>
      <c r="I20" s="23">
        <v>3</v>
      </c>
      <c r="J20" s="22">
        <v>2</v>
      </c>
      <c r="K20" s="20" t="s">
        <v>88</v>
      </c>
      <c r="L20" s="4"/>
      <c r="N20" s="6">
        <v>17</v>
      </c>
      <c r="O20" s="29">
        <f t="shared" si="0"/>
        <v>3</v>
      </c>
      <c r="P20" s="6">
        <f t="shared" si="1"/>
        <v>221</v>
      </c>
      <c r="Q20" s="6">
        <v>9</v>
      </c>
      <c r="R20" s="6">
        <f t="shared" si="3"/>
        <v>222</v>
      </c>
      <c r="S20" s="14">
        <f t="shared" si="2"/>
        <v>46080</v>
      </c>
    </row>
    <row r="21" spans="5:19" x14ac:dyDescent="0.25">
      <c r="E21" s="19" t="s">
        <v>26</v>
      </c>
      <c r="F21" s="17" t="s">
        <v>75</v>
      </c>
      <c r="G21" s="22" t="s">
        <v>89</v>
      </c>
      <c r="H21" s="25" t="s">
        <v>60</v>
      </c>
      <c r="I21" s="25">
        <v>8</v>
      </c>
      <c r="J21" s="21">
        <v>3</v>
      </c>
      <c r="K21" s="20" t="s">
        <v>88</v>
      </c>
      <c r="L21" s="4" t="s">
        <v>68</v>
      </c>
      <c r="N21" s="6">
        <v>18</v>
      </c>
      <c r="O21" s="29">
        <f t="shared" si="0"/>
        <v>3</v>
      </c>
      <c r="P21" s="6">
        <f t="shared" si="1"/>
        <v>218</v>
      </c>
      <c r="Q21" s="6">
        <v>4</v>
      </c>
      <c r="R21" s="6">
        <f t="shared" si="3"/>
        <v>218</v>
      </c>
      <c r="S21" s="14">
        <f t="shared" si="2"/>
        <v>46081</v>
      </c>
    </row>
    <row r="22" spans="5:19" x14ac:dyDescent="0.25">
      <c r="E22" s="19" t="s">
        <v>27</v>
      </c>
      <c r="F22" s="3" t="s">
        <v>76</v>
      </c>
      <c r="G22" s="20" t="s">
        <v>57</v>
      </c>
      <c r="H22" s="27" t="s">
        <v>61</v>
      </c>
      <c r="I22" s="27">
        <v>13</v>
      </c>
      <c r="J22" s="20">
        <v>1</v>
      </c>
      <c r="K22" s="20" t="s">
        <v>88</v>
      </c>
      <c r="L22" s="4" t="s">
        <v>65</v>
      </c>
      <c r="N22" s="6">
        <v>19</v>
      </c>
      <c r="O22" s="29">
        <f t="shared" si="0"/>
        <v>3</v>
      </c>
      <c r="P22" s="6">
        <f t="shared" si="1"/>
        <v>215</v>
      </c>
      <c r="Q22" s="6">
        <v>10</v>
      </c>
      <c r="R22" s="6">
        <f t="shared" si="3"/>
        <v>208</v>
      </c>
      <c r="S22" s="14">
        <f t="shared" si="2"/>
        <v>46082</v>
      </c>
    </row>
    <row r="23" spans="5:19" x14ac:dyDescent="0.25">
      <c r="E23" s="19" t="s">
        <v>28</v>
      </c>
      <c r="F23" s="18" t="s">
        <v>77</v>
      </c>
      <c r="G23" s="20" t="s">
        <v>57</v>
      </c>
      <c r="H23" s="27" t="s">
        <v>61</v>
      </c>
      <c r="I23" s="27">
        <v>13</v>
      </c>
      <c r="J23" s="20">
        <v>1</v>
      </c>
      <c r="K23" s="20" t="s">
        <v>88</v>
      </c>
      <c r="L23" s="4" t="s">
        <v>68</v>
      </c>
      <c r="N23" s="6">
        <v>20</v>
      </c>
      <c r="O23" s="29">
        <f t="shared" si="0"/>
        <v>3</v>
      </c>
      <c r="P23" s="6">
        <f t="shared" si="1"/>
        <v>212</v>
      </c>
      <c r="Q23" s="6">
        <v>0</v>
      </c>
      <c r="R23" s="6">
        <f t="shared" si="3"/>
        <v>208</v>
      </c>
      <c r="S23" s="14">
        <f t="shared" si="2"/>
        <v>46083</v>
      </c>
    </row>
    <row r="24" spans="5:19" x14ac:dyDescent="0.25">
      <c r="E24" s="19" t="s">
        <v>29</v>
      </c>
      <c r="F24" s="17" t="s">
        <v>78</v>
      </c>
      <c r="G24" s="21" t="s">
        <v>58</v>
      </c>
      <c r="H24" s="25" t="s">
        <v>60</v>
      </c>
      <c r="I24" s="25">
        <v>8</v>
      </c>
      <c r="J24" s="22">
        <v>2</v>
      </c>
      <c r="K24" s="20" t="s">
        <v>88</v>
      </c>
      <c r="L24" s="4" t="s">
        <v>70</v>
      </c>
      <c r="N24" s="6">
        <v>21</v>
      </c>
      <c r="O24" s="29">
        <f t="shared" si="0"/>
        <v>3</v>
      </c>
      <c r="P24" s="6">
        <f t="shared" si="1"/>
        <v>209</v>
      </c>
      <c r="Q24" s="6">
        <v>8</v>
      </c>
      <c r="R24" s="6">
        <f t="shared" si="3"/>
        <v>200</v>
      </c>
      <c r="S24" s="14">
        <f t="shared" si="2"/>
        <v>46084</v>
      </c>
    </row>
    <row r="25" spans="5:19" x14ac:dyDescent="0.25">
      <c r="E25" s="19" t="s">
        <v>30</v>
      </c>
      <c r="F25" s="3" t="s">
        <v>74</v>
      </c>
      <c r="G25" s="21" t="s">
        <v>58</v>
      </c>
      <c r="H25" s="25" t="s">
        <v>60</v>
      </c>
      <c r="I25" s="25">
        <v>8</v>
      </c>
      <c r="J25" s="22">
        <v>2</v>
      </c>
      <c r="K25" s="20" t="s">
        <v>88</v>
      </c>
      <c r="L25" s="4"/>
      <c r="N25" s="6">
        <v>22</v>
      </c>
      <c r="O25" s="29">
        <f t="shared" si="0"/>
        <v>3</v>
      </c>
      <c r="P25" s="6">
        <f t="shared" si="1"/>
        <v>206</v>
      </c>
      <c r="Q25" s="6">
        <v>6</v>
      </c>
      <c r="R25" s="6">
        <f t="shared" si="3"/>
        <v>194</v>
      </c>
      <c r="S25" s="14">
        <f t="shared" si="2"/>
        <v>46085</v>
      </c>
    </row>
    <row r="26" spans="5:19" x14ac:dyDescent="0.25">
      <c r="E26" s="19" t="s">
        <v>31</v>
      </c>
      <c r="F26" s="17" t="s">
        <v>79</v>
      </c>
      <c r="G26" s="21" t="s">
        <v>58</v>
      </c>
      <c r="H26" s="23" t="s">
        <v>59</v>
      </c>
      <c r="I26" s="23">
        <v>3</v>
      </c>
      <c r="J26" s="21">
        <v>3</v>
      </c>
      <c r="K26" s="20" t="s">
        <v>88</v>
      </c>
      <c r="L26" s="4" t="s">
        <v>70</v>
      </c>
      <c r="N26" s="6">
        <v>23</v>
      </c>
      <c r="O26" s="29">
        <f t="shared" si="0"/>
        <v>3</v>
      </c>
      <c r="P26" s="6">
        <f t="shared" si="1"/>
        <v>203</v>
      </c>
      <c r="Q26" s="6">
        <v>9</v>
      </c>
      <c r="R26" s="6">
        <f t="shared" si="3"/>
        <v>185</v>
      </c>
      <c r="S26" s="14">
        <f t="shared" si="2"/>
        <v>46086</v>
      </c>
    </row>
    <row r="27" spans="5:19" x14ac:dyDescent="0.25">
      <c r="E27" s="19" t="s">
        <v>32</v>
      </c>
      <c r="F27" s="17" t="s">
        <v>80</v>
      </c>
      <c r="G27" s="21" t="s">
        <v>58</v>
      </c>
      <c r="H27" s="24" t="s">
        <v>62</v>
      </c>
      <c r="I27" s="24">
        <v>5</v>
      </c>
      <c r="J27" s="21">
        <v>3</v>
      </c>
      <c r="K27" s="20" t="s">
        <v>88</v>
      </c>
      <c r="L27" s="4" t="s">
        <v>67</v>
      </c>
      <c r="N27" s="6">
        <v>24</v>
      </c>
      <c r="O27" s="29">
        <f t="shared" si="0"/>
        <v>3</v>
      </c>
      <c r="P27" s="6">
        <f t="shared" si="1"/>
        <v>200</v>
      </c>
      <c r="Q27" s="6">
        <v>0</v>
      </c>
      <c r="R27" s="6">
        <f t="shared" si="3"/>
        <v>185</v>
      </c>
      <c r="S27" s="14">
        <f t="shared" si="2"/>
        <v>46087</v>
      </c>
    </row>
    <row r="28" spans="5:19" x14ac:dyDescent="0.25">
      <c r="E28" s="19" t="s">
        <v>33</v>
      </c>
      <c r="F28" s="17" t="s">
        <v>81</v>
      </c>
      <c r="G28" s="21" t="s">
        <v>57</v>
      </c>
      <c r="H28" s="25" t="s">
        <v>60</v>
      </c>
      <c r="I28" s="25">
        <v>8</v>
      </c>
      <c r="J28" s="20">
        <v>1</v>
      </c>
      <c r="K28" s="20" t="s">
        <v>88</v>
      </c>
      <c r="L28" s="4" t="s">
        <v>67</v>
      </c>
      <c r="N28" s="6">
        <v>25</v>
      </c>
      <c r="O28" s="29">
        <f t="shared" si="0"/>
        <v>3</v>
      </c>
      <c r="P28" s="6">
        <f t="shared" si="1"/>
        <v>197</v>
      </c>
      <c r="Q28" s="6">
        <v>7</v>
      </c>
      <c r="R28" s="6">
        <f t="shared" si="3"/>
        <v>178</v>
      </c>
      <c r="S28" s="14">
        <f t="shared" si="2"/>
        <v>46088</v>
      </c>
    </row>
    <row r="29" spans="5:19" x14ac:dyDescent="0.25">
      <c r="E29" s="19" t="s">
        <v>34</v>
      </c>
      <c r="F29" s="17" t="s">
        <v>82</v>
      </c>
      <c r="G29" s="20" t="s">
        <v>58</v>
      </c>
      <c r="H29" s="25" t="s">
        <v>60</v>
      </c>
      <c r="I29" s="25">
        <v>8</v>
      </c>
      <c r="J29" s="22">
        <v>2</v>
      </c>
      <c r="K29" s="20" t="s">
        <v>88</v>
      </c>
      <c r="L29" s="4" t="s">
        <v>67</v>
      </c>
      <c r="N29" s="6">
        <v>26</v>
      </c>
      <c r="O29" s="29">
        <f t="shared" si="0"/>
        <v>3</v>
      </c>
      <c r="P29" s="6">
        <f t="shared" si="1"/>
        <v>194</v>
      </c>
      <c r="Q29" s="6">
        <v>5</v>
      </c>
      <c r="R29" s="6">
        <f t="shared" si="3"/>
        <v>173</v>
      </c>
      <c r="S29" s="14">
        <f t="shared" si="2"/>
        <v>46089</v>
      </c>
    </row>
    <row r="30" spans="5:19" x14ac:dyDescent="0.25">
      <c r="E30" s="19" t="s">
        <v>35</v>
      </c>
      <c r="F30" s="17" t="s">
        <v>83</v>
      </c>
      <c r="G30" s="21" t="s">
        <v>58</v>
      </c>
      <c r="H30" s="24" t="s">
        <v>62</v>
      </c>
      <c r="I30" s="24">
        <v>5</v>
      </c>
      <c r="J30" s="20">
        <v>1</v>
      </c>
      <c r="K30" s="20" t="s">
        <v>88</v>
      </c>
      <c r="L30" s="4" t="s">
        <v>71</v>
      </c>
      <c r="N30" s="6">
        <v>27</v>
      </c>
      <c r="O30" s="29">
        <f t="shared" si="0"/>
        <v>3</v>
      </c>
      <c r="P30" s="6">
        <f t="shared" si="1"/>
        <v>191</v>
      </c>
      <c r="Q30" s="6">
        <v>6</v>
      </c>
      <c r="R30" s="6">
        <f t="shared" si="3"/>
        <v>167</v>
      </c>
      <c r="S30" s="14">
        <f t="shared" si="2"/>
        <v>46090</v>
      </c>
    </row>
    <row r="31" spans="5:19" x14ac:dyDescent="0.25">
      <c r="E31" s="19" t="s">
        <v>36</v>
      </c>
      <c r="F31" s="17" t="s">
        <v>84</v>
      </c>
      <c r="G31" s="21" t="s">
        <v>58</v>
      </c>
      <c r="H31" s="24" t="s">
        <v>62</v>
      </c>
      <c r="I31" s="24">
        <v>5</v>
      </c>
      <c r="J31" s="20">
        <v>1</v>
      </c>
      <c r="K31" s="20" t="s">
        <v>88</v>
      </c>
      <c r="L31" s="4"/>
      <c r="N31" s="6">
        <v>28</v>
      </c>
      <c r="O31" s="29">
        <f t="shared" si="0"/>
        <v>3</v>
      </c>
      <c r="P31" s="6">
        <f t="shared" si="1"/>
        <v>188</v>
      </c>
      <c r="Q31" s="6">
        <v>0</v>
      </c>
      <c r="R31" s="6">
        <f t="shared" si="3"/>
        <v>167</v>
      </c>
      <c r="S31" s="14">
        <f t="shared" si="2"/>
        <v>46091</v>
      </c>
    </row>
    <row r="32" spans="5:19" x14ac:dyDescent="0.25">
      <c r="E32" s="19" t="s">
        <v>37</v>
      </c>
      <c r="F32" s="17" t="s">
        <v>85</v>
      </c>
      <c r="G32" s="21" t="s">
        <v>58</v>
      </c>
      <c r="H32" s="24" t="s">
        <v>62</v>
      </c>
      <c r="I32" s="24">
        <v>5</v>
      </c>
      <c r="J32" s="21">
        <v>3</v>
      </c>
      <c r="K32" s="20" t="s">
        <v>88</v>
      </c>
      <c r="L32" s="4" t="s">
        <v>67</v>
      </c>
      <c r="N32" s="6">
        <v>29</v>
      </c>
      <c r="O32" s="29">
        <f t="shared" si="0"/>
        <v>3</v>
      </c>
      <c r="P32" s="6">
        <f t="shared" si="1"/>
        <v>185</v>
      </c>
      <c r="Q32" s="6">
        <v>4</v>
      </c>
      <c r="R32" s="6">
        <f t="shared" si="3"/>
        <v>163</v>
      </c>
      <c r="S32" s="14">
        <f t="shared" si="2"/>
        <v>46092</v>
      </c>
    </row>
    <row r="33" spans="5:19" x14ac:dyDescent="0.25">
      <c r="E33" s="19" t="s">
        <v>38</v>
      </c>
      <c r="F33" s="3" t="s">
        <v>86</v>
      </c>
      <c r="G33" s="21" t="s">
        <v>58</v>
      </c>
      <c r="H33" s="23" t="s">
        <v>59</v>
      </c>
      <c r="I33" s="23">
        <v>3</v>
      </c>
      <c r="J33" s="21">
        <v>3</v>
      </c>
      <c r="K33" s="20" t="s">
        <v>88</v>
      </c>
      <c r="L33" s="4" t="s">
        <v>67</v>
      </c>
      <c r="N33" s="6">
        <v>30</v>
      </c>
      <c r="O33" s="29">
        <f t="shared" si="0"/>
        <v>3</v>
      </c>
      <c r="P33" s="6">
        <f t="shared" si="1"/>
        <v>182</v>
      </c>
      <c r="Q33" s="6">
        <v>3</v>
      </c>
      <c r="R33" s="6">
        <f t="shared" si="3"/>
        <v>160</v>
      </c>
      <c r="S33" s="14">
        <f t="shared" si="2"/>
        <v>46093</v>
      </c>
    </row>
    <row r="34" spans="5:19" x14ac:dyDescent="0.25">
      <c r="E34" s="19" t="s">
        <v>39</v>
      </c>
      <c r="F34" s="3" t="s">
        <v>87</v>
      </c>
      <c r="G34" s="20" t="s">
        <v>57</v>
      </c>
      <c r="H34" s="23" t="s">
        <v>59</v>
      </c>
      <c r="I34" s="23">
        <v>3</v>
      </c>
      <c r="J34" s="20">
        <v>1</v>
      </c>
      <c r="K34" s="20" t="s">
        <v>88</v>
      </c>
      <c r="L34" s="4"/>
      <c r="N34" s="6">
        <v>31</v>
      </c>
      <c r="O34" s="29">
        <f t="shared" si="0"/>
        <v>3</v>
      </c>
      <c r="P34" s="6">
        <f t="shared" si="1"/>
        <v>179</v>
      </c>
      <c r="Q34" s="6">
        <v>1</v>
      </c>
      <c r="R34" s="6">
        <f t="shared" si="3"/>
        <v>159</v>
      </c>
      <c r="S34" s="14">
        <f t="shared" si="2"/>
        <v>46094</v>
      </c>
    </row>
    <row r="35" spans="5:19" x14ac:dyDescent="0.25">
      <c r="E35" s="19" t="s">
        <v>90</v>
      </c>
      <c r="F35" s="3" t="s">
        <v>95</v>
      </c>
      <c r="G35" s="20" t="s">
        <v>57</v>
      </c>
      <c r="H35" s="27" t="s">
        <v>61</v>
      </c>
      <c r="I35" s="27">
        <v>13</v>
      </c>
      <c r="J35" s="22">
        <v>2</v>
      </c>
      <c r="K35" s="28" t="s">
        <v>100</v>
      </c>
      <c r="L35" s="4"/>
      <c r="N35" s="6">
        <v>32</v>
      </c>
      <c r="O35" s="29">
        <f t="shared" si="0"/>
        <v>3</v>
      </c>
      <c r="P35" s="6">
        <f t="shared" si="1"/>
        <v>176</v>
      </c>
      <c r="Q35" s="6">
        <v>0</v>
      </c>
      <c r="R35" s="6">
        <f t="shared" si="3"/>
        <v>159</v>
      </c>
      <c r="S35" s="14">
        <f t="shared" si="2"/>
        <v>46095</v>
      </c>
    </row>
    <row r="36" spans="5:19" x14ac:dyDescent="0.25">
      <c r="E36" s="19" t="s">
        <v>91</v>
      </c>
      <c r="F36" s="3" t="s">
        <v>96</v>
      </c>
      <c r="G36" s="21" t="s">
        <v>58</v>
      </c>
      <c r="H36" s="26" t="s">
        <v>64</v>
      </c>
      <c r="I36" s="26">
        <v>21</v>
      </c>
      <c r="J36" s="21">
        <v>3</v>
      </c>
      <c r="K36" s="28" t="s">
        <v>100</v>
      </c>
      <c r="L36" s="4"/>
      <c r="N36" s="6">
        <v>33</v>
      </c>
      <c r="O36" s="29">
        <f t="shared" ref="O36:O67" si="4">$B$10</f>
        <v>3</v>
      </c>
      <c r="P36" s="6">
        <f t="shared" si="1"/>
        <v>173</v>
      </c>
      <c r="Q36" s="6">
        <v>0</v>
      </c>
      <c r="R36" s="6">
        <f t="shared" si="3"/>
        <v>159</v>
      </c>
      <c r="S36" s="14">
        <f t="shared" si="2"/>
        <v>46096</v>
      </c>
    </row>
    <row r="37" spans="5:19" x14ac:dyDescent="0.25">
      <c r="E37" s="19" t="s">
        <v>92</v>
      </c>
      <c r="F37" s="3" t="s">
        <v>97</v>
      </c>
      <c r="G37" s="20" t="s">
        <v>57</v>
      </c>
      <c r="H37" s="25" t="s">
        <v>60</v>
      </c>
      <c r="I37" s="25">
        <v>8</v>
      </c>
      <c r="J37" s="22">
        <v>2</v>
      </c>
      <c r="K37" s="28" t="s">
        <v>100</v>
      </c>
      <c r="L37" s="4"/>
      <c r="N37" s="6">
        <v>34</v>
      </c>
      <c r="O37" s="29">
        <f t="shared" si="4"/>
        <v>3</v>
      </c>
      <c r="P37" s="6">
        <f t="shared" si="1"/>
        <v>170</v>
      </c>
      <c r="Q37" s="6">
        <v>0</v>
      </c>
      <c r="R37" s="6">
        <f t="shared" si="3"/>
        <v>159</v>
      </c>
      <c r="S37" s="14">
        <f t="shared" si="2"/>
        <v>46097</v>
      </c>
    </row>
    <row r="38" spans="5:19" x14ac:dyDescent="0.25">
      <c r="E38" s="19" t="s">
        <v>93</v>
      </c>
      <c r="F38" s="3" t="s">
        <v>98</v>
      </c>
      <c r="G38" s="21" t="s">
        <v>58</v>
      </c>
      <c r="H38" s="25" t="s">
        <v>60</v>
      </c>
      <c r="I38" s="25">
        <v>8</v>
      </c>
      <c r="J38" s="20">
        <v>1</v>
      </c>
      <c r="K38" s="28" t="s">
        <v>100</v>
      </c>
      <c r="L38" s="4"/>
      <c r="N38" s="6">
        <v>35</v>
      </c>
      <c r="O38" s="29">
        <f t="shared" si="4"/>
        <v>3</v>
      </c>
      <c r="P38" s="6">
        <f t="shared" si="1"/>
        <v>167</v>
      </c>
      <c r="Q38" s="6">
        <v>8</v>
      </c>
      <c r="R38" s="6">
        <f t="shared" si="3"/>
        <v>151</v>
      </c>
      <c r="S38" s="15">
        <f t="shared" si="2"/>
        <v>46098</v>
      </c>
    </row>
    <row r="39" spans="5:19" x14ac:dyDescent="0.25">
      <c r="E39" s="19" t="s">
        <v>94</v>
      </c>
      <c r="F39" s="3" t="s">
        <v>99</v>
      </c>
      <c r="G39" s="20" t="s">
        <v>57</v>
      </c>
      <c r="H39" s="25" t="s">
        <v>60</v>
      </c>
      <c r="I39" s="25">
        <v>8</v>
      </c>
      <c r="J39" s="22">
        <v>2</v>
      </c>
      <c r="K39" s="28" t="s">
        <v>100</v>
      </c>
      <c r="L39" s="4"/>
      <c r="N39" s="6">
        <v>36</v>
      </c>
      <c r="O39" s="29">
        <f t="shared" si="4"/>
        <v>3</v>
      </c>
      <c r="P39" s="6">
        <f t="shared" si="1"/>
        <v>164</v>
      </c>
      <c r="Q39" s="6">
        <v>0</v>
      </c>
      <c r="R39" s="6">
        <f t="shared" si="3"/>
        <v>151</v>
      </c>
      <c r="S39" s="15">
        <f t="shared" si="2"/>
        <v>46099</v>
      </c>
    </row>
    <row r="40" spans="5:19" x14ac:dyDescent="0.25">
      <c r="N40" s="6">
        <v>37</v>
      </c>
      <c r="O40" s="29">
        <f t="shared" si="4"/>
        <v>3</v>
      </c>
      <c r="P40" s="6">
        <f t="shared" si="1"/>
        <v>161</v>
      </c>
      <c r="Q40" s="6">
        <v>6</v>
      </c>
      <c r="R40" s="6">
        <f t="shared" si="3"/>
        <v>145</v>
      </c>
      <c r="S40" s="15">
        <f t="shared" si="2"/>
        <v>46100</v>
      </c>
    </row>
    <row r="41" spans="5:19" x14ac:dyDescent="0.25">
      <c r="N41" s="6">
        <v>38</v>
      </c>
      <c r="O41" s="29">
        <f t="shared" si="4"/>
        <v>3</v>
      </c>
      <c r="P41" s="6">
        <f t="shared" si="1"/>
        <v>158</v>
      </c>
      <c r="Q41" s="6">
        <v>0</v>
      </c>
      <c r="R41" s="6">
        <f t="shared" si="3"/>
        <v>145</v>
      </c>
      <c r="S41" s="15">
        <f t="shared" si="2"/>
        <v>46101</v>
      </c>
    </row>
    <row r="42" spans="5:19" x14ac:dyDescent="0.25">
      <c r="N42" s="6">
        <v>39</v>
      </c>
      <c r="O42" s="29">
        <f t="shared" si="4"/>
        <v>3</v>
      </c>
      <c r="P42" s="6">
        <f t="shared" si="1"/>
        <v>155</v>
      </c>
      <c r="Q42" s="6">
        <v>8</v>
      </c>
      <c r="R42" s="6">
        <f t="shared" si="3"/>
        <v>137</v>
      </c>
      <c r="S42" s="15">
        <f t="shared" si="2"/>
        <v>46102</v>
      </c>
    </row>
    <row r="43" spans="5:19" x14ac:dyDescent="0.25">
      <c r="N43" s="6">
        <v>40</v>
      </c>
      <c r="O43" s="29">
        <f t="shared" si="4"/>
        <v>3</v>
      </c>
      <c r="P43" s="6">
        <f t="shared" si="1"/>
        <v>152</v>
      </c>
      <c r="Q43" s="6">
        <v>8</v>
      </c>
      <c r="R43" s="6">
        <f t="shared" si="3"/>
        <v>129</v>
      </c>
      <c r="S43" s="15">
        <f t="shared" si="2"/>
        <v>46103</v>
      </c>
    </row>
    <row r="44" spans="5:19" x14ac:dyDescent="0.25">
      <c r="N44" s="6">
        <v>41</v>
      </c>
      <c r="O44" s="29">
        <f t="shared" si="4"/>
        <v>3</v>
      </c>
      <c r="P44" s="6">
        <f t="shared" si="1"/>
        <v>149</v>
      </c>
      <c r="Q44" s="6">
        <v>0</v>
      </c>
      <c r="R44" s="6">
        <f t="shared" si="3"/>
        <v>129</v>
      </c>
      <c r="S44" s="15">
        <f t="shared" si="2"/>
        <v>46104</v>
      </c>
    </row>
    <row r="45" spans="5:19" x14ac:dyDescent="0.25">
      <c r="N45" s="6">
        <v>42</v>
      </c>
      <c r="O45" s="29">
        <f t="shared" si="4"/>
        <v>3</v>
      </c>
      <c r="P45" s="6">
        <f t="shared" si="1"/>
        <v>146</v>
      </c>
      <c r="Q45" s="6">
        <v>8</v>
      </c>
      <c r="R45" s="6">
        <f t="shared" si="3"/>
        <v>121</v>
      </c>
      <c r="S45" s="15">
        <f t="shared" si="2"/>
        <v>46105</v>
      </c>
    </row>
    <row r="46" spans="5:19" x14ac:dyDescent="0.25">
      <c r="N46" s="6">
        <v>43</v>
      </c>
      <c r="O46" s="29">
        <f t="shared" si="4"/>
        <v>3</v>
      </c>
      <c r="P46" s="6">
        <f t="shared" si="1"/>
        <v>143</v>
      </c>
      <c r="Q46" s="6">
        <v>10</v>
      </c>
      <c r="R46" s="6">
        <f t="shared" si="3"/>
        <v>111</v>
      </c>
      <c r="S46" s="15">
        <f t="shared" si="2"/>
        <v>46106</v>
      </c>
    </row>
    <row r="47" spans="5:19" x14ac:dyDescent="0.25">
      <c r="N47" s="6">
        <v>44</v>
      </c>
      <c r="O47" s="29">
        <f t="shared" si="4"/>
        <v>3</v>
      </c>
      <c r="P47" s="6">
        <f t="shared" si="1"/>
        <v>140</v>
      </c>
      <c r="Q47" s="6">
        <v>0</v>
      </c>
      <c r="R47" s="6">
        <f t="shared" si="3"/>
        <v>111</v>
      </c>
      <c r="S47" s="15">
        <f t="shared" si="2"/>
        <v>46107</v>
      </c>
    </row>
    <row r="48" spans="5:19" x14ac:dyDescent="0.25">
      <c r="N48" s="6">
        <v>45</v>
      </c>
      <c r="O48" s="29">
        <f t="shared" si="4"/>
        <v>3</v>
      </c>
      <c r="P48" s="6">
        <f t="shared" si="1"/>
        <v>137</v>
      </c>
      <c r="Q48" s="6">
        <v>0</v>
      </c>
      <c r="R48" s="6">
        <f t="shared" si="3"/>
        <v>111</v>
      </c>
      <c r="S48" s="15">
        <f t="shared" si="2"/>
        <v>46108</v>
      </c>
    </row>
    <row r="49" spans="14:19" x14ac:dyDescent="0.25">
      <c r="N49" s="6">
        <v>46</v>
      </c>
      <c r="O49" s="29">
        <f t="shared" si="4"/>
        <v>3</v>
      </c>
      <c r="P49" s="6">
        <f t="shared" si="1"/>
        <v>134</v>
      </c>
      <c r="Q49" s="6">
        <v>0</v>
      </c>
      <c r="R49" s="6">
        <f t="shared" si="3"/>
        <v>111</v>
      </c>
      <c r="S49" s="15">
        <f t="shared" si="2"/>
        <v>46109</v>
      </c>
    </row>
    <row r="50" spans="14:19" x14ac:dyDescent="0.25">
      <c r="N50" s="6">
        <v>47</v>
      </c>
      <c r="O50" s="29">
        <f t="shared" si="4"/>
        <v>3</v>
      </c>
      <c r="P50" s="6">
        <f t="shared" si="1"/>
        <v>131</v>
      </c>
      <c r="Q50" s="6">
        <v>0</v>
      </c>
      <c r="R50" s="6">
        <f t="shared" si="3"/>
        <v>111</v>
      </c>
      <c r="S50" s="15">
        <f t="shared" si="2"/>
        <v>46110</v>
      </c>
    </row>
    <row r="51" spans="14:19" x14ac:dyDescent="0.25">
      <c r="N51" s="6">
        <v>48</v>
      </c>
      <c r="O51" s="29">
        <f t="shared" si="4"/>
        <v>3</v>
      </c>
      <c r="P51" s="6">
        <f t="shared" si="1"/>
        <v>128</v>
      </c>
      <c r="Q51" s="6">
        <v>0</v>
      </c>
      <c r="R51" s="6">
        <f t="shared" si="3"/>
        <v>111</v>
      </c>
      <c r="S51" s="15">
        <f t="shared" si="2"/>
        <v>46111</v>
      </c>
    </row>
    <row r="52" spans="14:19" x14ac:dyDescent="0.25">
      <c r="N52" s="6">
        <v>49</v>
      </c>
      <c r="O52" s="29">
        <f t="shared" si="4"/>
        <v>3</v>
      </c>
      <c r="P52" s="6">
        <f t="shared" si="1"/>
        <v>125</v>
      </c>
      <c r="Q52" s="6">
        <v>0</v>
      </c>
      <c r="R52" s="6">
        <f t="shared" si="3"/>
        <v>111</v>
      </c>
      <c r="S52" s="15">
        <f t="shared" si="2"/>
        <v>46112</v>
      </c>
    </row>
    <row r="53" spans="14:19" x14ac:dyDescent="0.25">
      <c r="N53" s="6">
        <v>50</v>
      </c>
      <c r="O53" s="29">
        <f t="shared" si="4"/>
        <v>3</v>
      </c>
      <c r="P53" s="6">
        <f t="shared" si="1"/>
        <v>122</v>
      </c>
      <c r="Q53" s="6">
        <v>0</v>
      </c>
      <c r="R53" s="6">
        <f t="shared" si="3"/>
        <v>111</v>
      </c>
      <c r="S53" s="15">
        <f t="shared" si="2"/>
        <v>46113</v>
      </c>
    </row>
    <row r="54" spans="14:19" x14ac:dyDescent="0.25">
      <c r="N54" s="6">
        <v>51</v>
      </c>
      <c r="O54" s="29">
        <f t="shared" si="4"/>
        <v>3</v>
      </c>
      <c r="P54" s="6">
        <f t="shared" si="1"/>
        <v>119</v>
      </c>
      <c r="Q54" s="6">
        <v>8</v>
      </c>
      <c r="R54" s="6">
        <f t="shared" si="3"/>
        <v>103</v>
      </c>
      <c r="S54" s="15">
        <f t="shared" si="2"/>
        <v>46114</v>
      </c>
    </row>
    <row r="55" spans="14:19" x14ac:dyDescent="0.25">
      <c r="N55" s="6">
        <v>52</v>
      </c>
      <c r="O55" s="29">
        <f t="shared" si="4"/>
        <v>3</v>
      </c>
      <c r="P55" s="6">
        <f t="shared" si="1"/>
        <v>116</v>
      </c>
      <c r="Q55" s="6"/>
      <c r="R55" s="6">
        <f t="shared" si="3"/>
        <v>103</v>
      </c>
      <c r="S55" s="15">
        <f t="shared" si="2"/>
        <v>46115</v>
      </c>
    </row>
    <row r="56" spans="14:19" x14ac:dyDescent="0.25">
      <c r="N56" s="6">
        <v>53</v>
      </c>
      <c r="O56" s="29">
        <f t="shared" si="4"/>
        <v>3</v>
      </c>
      <c r="P56" s="6">
        <f t="shared" si="1"/>
        <v>113</v>
      </c>
      <c r="Q56" s="6"/>
      <c r="R56" s="6">
        <f t="shared" si="3"/>
        <v>103</v>
      </c>
      <c r="S56" s="15">
        <f t="shared" si="2"/>
        <v>46116</v>
      </c>
    </row>
    <row r="57" spans="14:19" x14ac:dyDescent="0.25">
      <c r="N57" s="6">
        <v>54</v>
      </c>
      <c r="O57" s="29">
        <f t="shared" si="4"/>
        <v>3</v>
      </c>
      <c r="P57" s="6">
        <f t="shared" si="1"/>
        <v>110</v>
      </c>
      <c r="Q57" s="6"/>
      <c r="R57" s="6">
        <f t="shared" si="3"/>
        <v>103</v>
      </c>
      <c r="S57" s="15">
        <f t="shared" si="2"/>
        <v>46117</v>
      </c>
    </row>
    <row r="58" spans="14:19" x14ac:dyDescent="0.25">
      <c r="N58" s="6">
        <v>55</v>
      </c>
      <c r="O58" s="29">
        <f t="shared" si="4"/>
        <v>3</v>
      </c>
      <c r="P58" s="6">
        <f t="shared" si="1"/>
        <v>107</v>
      </c>
      <c r="Q58" s="6"/>
      <c r="R58" s="6">
        <f t="shared" si="3"/>
        <v>103</v>
      </c>
      <c r="S58" s="15">
        <f t="shared" si="2"/>
        <v>46118</v>
      </c>
    </row>
    <row r="59" spans="14:19" x14ac:dyDescent="0.25">
      <c r="N59" s="6">
        <v>56</v>
      </c>
      <c r="O59" s="29">
        <f t="shared" si="4"/>
        <v>3</v>
      </c>
      <c r="P59" s="6">
        <f t="shared" si="1"/>
        <v>104</v>
      </c>
      <c r="Q59" s="6"/>
      <c r="R59" s="6">
        <f t="shared" si="3"/>
        <v>103</v>
      </c>
      <c r="S59" s="15">
        <f t="shared" si="2"/>
        <v>46119</v>
      </c>
    </row>
    <row r="60" spans="14:19" x14ac:dyDescent="0.25">
      <c r="N60" s="6">
        <v>57</v>
      </c>
      <c r="O60" s="29">
        <f t="shared" si="4"/>
        <v>3</v>
      </c>
      <c r="P60" s="6">
        <f t="shared" si="1"/>
        <v>101</v>
      </c>
      <c r="Q60" s="6"/>
      <c r="R60" s="6">
        <f t="shared" si="3"/>
        <v>103</v>
      </c>
      <c r="S60" s="15">
        <f t="shared" si="2"/>
        <v>46120</v>
      </c>
    </row>
    <row r="61" spans="14:19" x14ac:dyDescent="0.25">
      <c r="N61" s="6">
        <v>58</v>
      </c>
      <c r="O61" s="29">
        <f t="shared" si="4"/>
        <v>3</v>
      </c>
      <c r="P61" s="6">
        <f t="shared" si="1"/>
        <v>98</v>
      </c>
      <c r="Q61" s="6"/>
      <c r="R61" s="6">
        <f t="shared" si="3"/>
        <v>103</v>
      </c>
      <c r="S61" s="15">
        <f t="shared" si="2"/>
        <v>46121</v>
      </c>
    </row>
    <row r="62" spans="14:19" x14ac:dyDescent="0.25">
      <c r="N62" s="6">
        <v>59</v>
      </c>
      <c r="O62" s="29">
        <f t="shared" si="4"/>
        <v>3</v>
      </c>
      <c r="P62" s="6">
        <f t="shared" si="1"/>
        <v>95</v>
      </c>
      <c r="Q62" s="6"/>
      <c r="R62" s="6">
        <f t="shared" si="3"/>
        <v>103</v>
      </c>
      <c r="S62" s="15">
        <f t="shared" si="2"/>
        <v>46122</v>
      </c>
    </row>
    <row r="63" spans="14:19" x14ac:dyDescent="0.25">
      <c r="N63" s="6">
        <v>60</v>
      </c>
      <c r="O63" s="29">
        <f t="shared" si="4"/>
        <v>3</v>
      </c>
      <c r="P63" s="6">
        <f t="shared" si="1"/>
        <v>92</v>
      </c>
      <c r="Q63" s="6"/>
      <c r="R63" s="6">
        <f t="shared" si="3"/>
        <v>103</v>
      </c>
      <c r="S63" s="15">
        <f t="shared" si="2"/>
        <v>46123</v>
      </c>
    </row>
    <row r="64" spans="14:19" x14ac:dyDescent="0.25">
      <c r="N64" s="6">
        <v>61</v>
      </c>
      <c r="O64" s="29">
        <f t="shared" si="4"/>
        <v>3</v>
      </c>
      <c r="P64" s="6">
        <f t="shared" si="1"/>
        <v>89</v>
      </c>
      <c r="Q64" s="6"/>
      <c r="R64" s="6">
        <f t="shared" si="3"/>
        <v>103</v>
      </c>
      <c r="S64" s="15">
        <f t="shared" si="2"/>
        <v>46124</v>
      </c>
    </row>
    <row r="65" spans="14:19" x14ac:dyDescent="0.25">
      <c r="N65" s="6">
        <v>62</v>
      </c>
      <c r="O65" s="29">
        <f t="shared" si="4"/>
        <v>3</v>
      </c>
      <c r="P65" s="6">
        <f t="shared" si="1"/>
        <v>86</v>
      </c>
      <c r="Q65" s="6"/>
      <c r="R65" s="6">
        <f t="shared" si="3"/>
        <v>103</v>
      </c>
      <c r="S65" s="15">
        <f t="shared" si="2"/>
        <v>46125</v>
      </c>
    </row>
    <row r="66" spans="14:19" x14ac:dyDescent="0.25">
      <c r="N66" s="6">
        <v>63</v>
      </c>
      <c r="O66" s="29">
        <f t="shared" si="4"/>
        <v>3</v>
      </c>
      <c r="P66" s="6">
        <f t="shared" si="1"/>
        <v>83</v>
      </c>
      <c r="Q66" s="6"/>
      <c r="R66" s="6">
        <f t="shared" si="3"/>
        <v>103</v>
      </c>
      <c r="S66" s="15">
        <f t="shared" si="2"/>
        <v>46126</v>
      </c>
    </row>
    <row r="67" spans="14:19" x14ac:dyDescent="0.25">
      <c r="N67" s="6">
        <v>64</v>
      </c>
      <c r="O67" s="29">
        <f t="shared" si="4"/>
        <v>3</v>
      </c>
      <c r="P67" s="6">
        <f t="shared" si="1"/>
        <v>80</v>
      </c>
      <c r="Q67" s="6"/>
      <c r="R67" s="6">
        <f t="shared" si="3"/>
        <v>103</v>
      </c>
      <c r="S67" s="15">
        <f t="shared" si="2"/>
        <v>46127</v>
      </c>
    </row>
    <row r="68" spans="14:19" x14ac:dyDescent="0.25">
      <c r="N68" s="6">
        <v>65</v>
      </c>
      <c r="O68" s="29">
        <f t="shared" ref="O68:O99" si="5">$B$10</f>
        <v>3</v>
      </c>
      <c r="P68" s="6">
        <f t="shared" si="1"/>
        <v>77</v>
      </c>
      <c r="Q68" s="6"/>
      <c r="R68" s="6">
        <f t="shared" si="3"/>
        <v>103</v>
      </c>
      <c r="S68" s="15">
        <f t="shared" si="2"/>
        <v>46128</v>
      </c>
    </row>
    <row r="69" spans="14:19" x14ac:dyDescent="0.25">
      <c r="N69" s="6">
        <v>66</v>
      </c>
      <c r="O69" s="29">
        <f t="shared" si="5"/>
        <v>3</v>
      </c>
      <c r="P69" s="6">
        <f t="shared" ref="P69:P117" si="6">P68-$O$4</f>
        <v>74</v>
      </c>
      <c r="Q69" s="6"/>
      <c r="R69" s="6">
        <f t="shared" si="3"/>
        <v>103</v>
      </c>
      <c r="S69" s="15">
        <f t="shared" ref="S69:S117" si="7">S68+1</f>
        <v>46129</v>
      </c>
    </row>
    <row r="70" spans="14:19" x14ac:dyDescent="0.25">
      <c r="N70" s="6">
        <v>67</v>
      </c>
      <c r="O70" s="29">
        <f t="shared" si="5"/>
        <v>3</v>
      </c>
      <c r="P70" s="6">
        <f t="shared" si="6"/>
        <v>71</v>
      </c>
      <c r="Q70" s="6"/>
      <c r="R70" s="6">
        <f t="shared" ref="R70:R117" si="8">IF(Q70&lt;&gt;"",R69-Q70,R69)</f>
        <v>103</v>
      </c>
      <c r="S70" s="15">
        <f t="shared" si="7"/>
        <v>46130</v>
      </c>
    </row>
    <row r="71" spans="14:19" x14ac:dyDescent="0.25">
      <c r="N71" s="6">
        <v>68</v>
      </c>
      <c r="O71" s="29">
        <f t="shared" si="5"/>
        <v>3</v>
      </c>
      <c r="P71" s="6">
        <f t="shared" si="6"/>
        <v>68</v>
      </c>
      <c r="Q71" s="6"/>
      <c r="R71" s="6">
        <f t="shared" si="8"/>
        <v>103</v>
      </c>
      <c r="S71" s="15">
        <f t="shared" si="7"/>
        <v>46131</v>
      </c>
    </row>
    <row r="72" spans="14:19" x14ac:dyDescent="0.25">
      <c r="N72" s="6">
        <v>69</v>
      </c>
      <c r="O72" s="29">
        <f t="shared" si="5"/>
        <v>3</v>
      </c>
      <c r="P72" s="6">
        <f t="shared" si="6"/>
        <v>65</v>
      </c>
      <c r="Q72" s="6"/>
      <c r="R72" s="6">
        <f t="shared" si="8"/>
        <v>103</v>
      </c>
      <c r="S72" s="15">
        <f t="shared" si="7"/>
        <v>46132</v>
      </c>
    </row>
    <row r="73" spans="14:19" x14ac:dyDescent="0.25">
      <c r="N73" s="6">
        <v>70</v>
      </c>
      <c r="O73" s="29">
        <f t="shared" si="5"/>
        <v>3</v>
      </c>
      <c r="P73" s="6">
        <f t="shared" si="6"/>
        <v>62</v>
      </c>
      <c r="Q73" s="6"/>
      <c r="R73" s="6">
        <f t="shared" si="8"/>
        <v>103</v>
      </c>
      <c r="S73" s="15">
        <f t="shared" si="7"/>
        <v>46133</v>
      </c>
    </row>
    <row r="74" spans="14:19" x14ac:dyDescent="0.25">
      <c r="N74" s="6">
        <v>71</v>
      </c>
      <c r="O74" s="29">
        <f t="shared" si="5"/>
        <v>3</v>
      </c>
      <c r="P74" s="6">
        <f t="shared" si="6"/>
        <v>59</v>
      </c>
      <c r="Q74" s="6"/>
      <c r="R74" s="6">
        <f t="shared" si="8"/>
        <v>103</v>
      </c>
      <c r="S74" s="15">
        <f t="shared" si="7"/>
        <v>46134</v>
      </c>
    </row>
    <row r="75" spans="14:19" x14ac:dyDescent="0.25">
      <c r="N75" s="6">
        <v>72</v>
      </c>
      <c r="O75" s="29">
        <f t="shared" si="5"/>
        <v>3</v>
      </c>
      <c r="P75" s="6">
        <f t="shared" si="6"/>
        <v>56</v>
      </c>
      <c r="Q75" s="6"/>
      <c r="R75" s="6">
        <f t="shared" si="8"/>
        <v>103</v>
      </c>
      <c r="S75" s="16">
        <f t="shared" si="7"/>
        <v>46135</v>
      </c>
    </row>
    <row r="76" spans="14:19" x14ac:dyDescent="0.25">
      <c r="N76" s="6">
        <v>73</v>
      </c>
      <c r="O76" s="29">
        <f t="shared" si="5"/>
        <v>3</v>
      </c>
      <c r="P76" s="6">
        <f t="shared" si="6"/>
        <v>53</v>
      </c>
      <c r="Q76" s="6"/>
      <c r="R76" s="6">
        <f t="shared" si="8"/>
        <v>103</v>
      </c>
      <c r="S76" s="16">
        <f t="shared" si="7"/>
        <v>46136</v>
      </c>
    </row>
    <row r="77" spans="14:19" x14ac:dyDescent="0.25">
      <c r="N77" s="6">
        <v>74</v>
      </c>
      <c r="O77" s="29">
        <f t="shared" si="5"/>
        <v>3</v>
      </c>
      <c r="P77" s="6">
        <f t="shared" si="6"/>
        <v>50</v>
      </c>
      <c r="Q77" s="6"/>
      <c r="R77" s="6">
        <f t="shared" si="8"/>
        <v>103</v>
      </c>
      <c r="S77" s="16">
        <f t="shared" si="7"/>
        <v>46137</v>
      </c>
    </row>
    <row r="78" spans="14:19" x14ac:dyDescent="0.25">
      <c r="N78" s="6">
        <v>75</v>
      </c>
      <c r="O78" s="29">
        <f t="shared" si="5"/>
        <v>3</v>
      </c>
      <c r="P78" s="6">
        <f t="shared" si="6"/>
        <v>47</v>
      </c>
      <c r="Q78" s="6"/>
      <c r="R78" s="6">
        <f t="shared" si="8"/>
        <v>103</v>
      </c>
      <c r="S78" s="16">
        <f t="shared" si="7"/>
        <v>46138</v>
      </c>
    </row>
    <row r="79" spans="14:19" x14ac:dyDescent="0.25">
      <c r="N79" s="6">
        <v>76</v>
      </c>
      <c r="O79" s="29">
        <f t="shared" si="5"/>
        <v>3</v>
      </c>
      <c r="P79" s="6">
        <f t="shared" si="6"/>
        <v>44</v>
      </c>
      <c r="Q79" s="6"/>
      <c r="R79" s="6">
        <f t="shared" si="8"/>
        <v>103</v>
      </c>
      <c r="S79" s="16">
        <f t="shared" si="7"/>
        <v>46139</v>
      </c>
    </row>
    <row r="80" spans="14:19" x14ac:dyDescent="0.25">
      <c r="N80" s="6">
        <v>77</v>
      </c>
      <c r="O80" s="29">
        <f t="shared" si="5"/>
        <v>3</v>
      </c>
      <c r="P80" s="6">
        <f t="shared" si="6"/>
        <v>41</v>
      </c>
      <c r="Q80" s="6"/>
      <c r="R80" s="6">
        <f t="shared" si="8"/>
        <v>103</v>
      </c>
      <c r="S80" s="16">
        <f t="shared" si="7"/>
        <v>46140</v>
      </c>
    </row>
    <row r="81" spans="14:19" x14ac:dyDescent="0.25">
      <c r="N81" s="6">
        <v>78</v>
      </c>
      <c r="O81" s="29">
        <f t="shared" si="5"/>
        <v>3</v>
      </c>
      <c r="P81" s="6">
        <f t="shared" si="6"/>
        <v>38</v>
      </c>
      <c r="Q81" s="6"/>
      <c r="R81" s="6">
        <f t="shared" si="8"/>
        <v>103</v>
      </c>
      <c r="S81" s="16">
        <f t="shared" si="7"/>
        <v>46141</v>
      </c>
    </row>
    <row r="82" spans="14:19" x14ac:dyDescent="0.25">
      <c r="N82" s="6">
        <v>79</v>
      </c>
      <c r="O82" s="29">
        <f t="shared" si="5"/>
        <v>3</v>
      </c>
      <c r="P82" s="6">
        <f t="shared" si="6"/>
        <v>35</v>
      </c>
      <c r="Q82" s="6"/>
      <c r="R82" s="6">
        <f t="shared" si="8"/>
        <v>103</v>
      </c>
      <c r="S82" s="16">
        <f t="shared" si="7"/>
        <v>46142</v>
      </c>
    </row>
    <row r="83" spans="14:19" x14ac:dyDescent="0.25">
      <c r="N83" s="6">
        <v>80</v>
      </c>
      <c r="O83" s="29">
        <f t="shared" si="5"/>
        <v>3</v>
      </c>
      <c r="P83" s="6">
        <f t="shared" si="6"/>
        <v>32</v>
      </c>
      <c r="Q83" s="6"/>
      <c r="R83" s="6">
        <f t="shared" si="8"/>
        <v>103</v>
      </c>
      <c r="S83" s="16">
        <f t="shared" si="7"/>
        <v>46143</v>
      </c>
    </row>
    <row r="84" spans="14:19" x14ac:dyDescent="0.25">
      <c r="N84" s="6">
        <v>81</v>
      </c>
      <c r="O84" s="29">
        <f t="shared" si="5"/>
        <v>3</v>
      </c>
      <c r="P84" s="6">
        <f t="shared" si="6"/>
        <v>29</v>
      </c>
      <c r="Q84" s="6"/>
      <c r="R84" s="6">
        <f t="shared" si="8"/>
        <v>103</v>
      </c>
      <c r="S84" s="16">
        <f t="shared" si="7"/>
        <v>46144</v>
      </c>
    </row>
    <row r="85" spans="14:19" x14ac:dyDescent="0.25">
      <c r="N85" s="6">
        <v>82</v>
      </c>
      <c r="O85" s="29">
        <f t="shared" si="5"/>
        <v>3</v>
      </c>
      <c r="P85" s="6">
        <f t="shared" si="6"/>
        <v>26</v>
      </c>
      <c r="Q85" s="6"/>
      <c r="R85" s="6">
        <f t="shared" si="8"/>
        <v>103</v>
      </c>
      <c r="S85" s="16">
        <f t="shared" si="7"/>
        <v>46145</v>
      </c>
    </row>
    <row r="86" spans="14:19" x14ac:dyDescent="0.25">
      <c r="N86" s="6">
        <v>83</v>
      </c>
      <c r="O86" s="29">
        <f t="shared" si="5"/>
        <v>3</v>
      </c>
      <c r="P86" s="6">
        <f t="shared" si="6"/>
        <v>23</v>
      </c>
      <c r="Q86" s="6"/>
      <c r="R86" s="6">
        <f t="shared" si="8"/>
        <v>103</v>
      </c>
      <c r="S86" s="16">
        <f t="shared" si="7"/>
        <v>46146</v>
      </c>
    </row>
    <row r="87" spans="14:19" x14ac:dyDescent="0.25">
      <c r="N87" s="6">
        <v>84</v>
      </c>
      <c r="O87" s="29">
        <f t="shared" si="5"/>
        <v>3</v>
      </c>
      <c r="P87" s="6">
        <f t="shared" si="6"/>
        <v>20</v>
      </c>
      <c r="Q87" s="6"/>
      <c r="R87" s="6">
        <f t="shared" si="8"/>
        <v>103</v>
      </c>
      <c r="S87" s="16">
        <f t="shared" si="7"/>
        <v>46147</v>
      </c>
    </row>
    <row r="88" spans="14:19" x14ac:dyDescent="0.25">
      <c r="N88" s="6">
        <v>85</v>
      </c>
      <c r="O88" s="29">
        <f t="shared" si="5"/>
        <v>3</v>
      </c>
      <c r="P88" s="6">
        <f t="shared" si="6"/>
        <v>17</v>
      </c>
      <c r="Q88" s="6"/>
      <c r="R88" s="6">
        <f t="shared" si="8"/>
        <v>103</v>
      </c>
      <c r="S88" s="16">
        <f t="shared" si="7"/>
        <v>46148</v>
      </c>
    </row>
    <row r="89" spans="14:19" x14ac:dyDescent="0.25">
      <c r="N89" s="6">
        <v>86</v>
      </c>
      <c r="O89" s="29">
        <f t="shared" si="5"/>
        <v>3</v>
      </c>
      <c r="P89" s="6">
        <f t="shared" si="6"/>
        <v>14</v>
      </c>
      <c r="Q89" s="6"/>
      <c r="R89" s="6">
        <f t="shared" si="8"/>
        <v>103</v>
      </c>
      <c r="S89" s="16">
        <f t="shared" si="7"/>
        <v>46149</v>
      </c>
    </row>
    <row r="90" spans="14:19" x14ac:dyDescent="0.25">
      <c r="N90" s="6">
        <v>87</v>
      </c>
      <c r="O90" s="29">
        <f t="shared" si="5"/>
        <v>3</v>
      </c>
      <c r="P90" s="6">
        <f t="shared" si="6"/>
        <v>11</v>
      </c>
      <c r="Q90" s="6"/>
      <c r="R90" s="6">
        <f t="shared" si="8"/>
        <v>103</v>
      </c>
      <c r="S90" s="16">
        <f t="shared" si="7"/>
        <v>46150</v>
      </c>
    </row>
    <row r="91" spans="14:19" x14ac:dyDescent="0.25">
      <c r="N91" s="6">
        <v>88</v>
      </c>
      <c r="O91" s="29">
        <f t="shared" si="5"/>
        <v>3</v>
      </c>
      <c r="P91" s="6">
        <f t="shared" si="6"/>
        <v>8</v>
      </c>
      <c r="Q91" s="6"/>
      <c r="R91" s="6">
        <f t="shared" si="8"/>
        <v>103</v>
      </c>
      <c r="S91" s="16">
        <f t="shared" si="7"/>
        <v>46151</v>
      </c>
    </row>
    <row r="92" spans="14:19" x14ac:dyDescent="0.25">
      <c r="N92" s="6">
        <v>89</v>
      </c>
      <c r="O92" s="29">
        <f t="shared" si="5"/>
        <v>3</v>
      </c>
      <c r="P92" s="6">
        <f t="shared" si="6"/>
        <v>5</v>
      </c>
      <c r="Q92" s="6"/>
      <c r="R92" s="6">
        <f t="shared" si="8"/>
        <v>103</v>
      </c>
      <c r="S92" s="16">
        <f t="shared" si="7"/>
        <v>46152</v>
      </c>
    </row>
    <row r="93" spans="14:19" x14ac:dyDescent="0.25">
      <c r="N93" s="6">
        <v>90</v>
      </c>
      <c r="O93" s="29">
        <f t="shared" si="5"/>
        <v>3</v>
      </c>
      <c r="P93" s="6">
        <f t="shared" si="6"/>
        <v>2</v>
      </c>
      <c r="Q93" s="6"/>
      <c r="R93" s="6">
        <f t="shared" si="8"/>
        <v>103</v>
      </c>
      <c r="S93" s="16">
        <f t="shared" si="7"/>
        <v>46153</v>
      </c>
    </row>
    <row r="94" spans="14:19" x14ac:dyDescent="0.25">
      <c r="N94" s="6">
        <v>91</v>
      </c>
      <c r="O94" s="29">
        <f t="shared" si="5"/>
        <v>3</v>
      </c>
      <c r="P94" s="6">
        <v>0</v>
      </c>
      <c r="Q94" s="6"/>
      <c r="R94" s="6">
        <f t="shared" si="8"/>
        <v>103</v>
      </c>
      <c r="S94" s="16">
        <f t="shared" si="7"/>
        <v>46154</v>
      </c>
    </row>
    <row r="95" spans="14:19" x14ac:dyDescent="0.25">
      <c r="N95" s="6">
        <v>92</v>
      </c>
      <c r="O95" s="29">
        <f t="shared" si="5"/>
        <v>3</v>
      </c>
      <c r="P95" s="6">
        <v>0</v>
      </c>
      <c r="Q95" s="6"/>
      <c r="R95" s="6">
        <f t="shared" si="8"/>
        <v>103</v>
      </c>
      <c r="S95" s="16">
        <f t="shared" si="7"/>
        <v>46155</v>
      </c>
    </row>
    <row r="96" spans="14:19" x14ac:dyDescent="0.25">
      <c r="N96" s="6">
        <v>93</v>
      </c>
      <c r="O96" s="29">
        <f t="shared" si="5"/>
        <v>3</v>
      </c>
      <c r="P96" s="6">
        <v>0</v>
      </c>
      <c r="Q96" s="6"/>
      <c r="R96" s="6">
        <f t="shared" si="8"/>
        <v>103</v>
      </c>
      <c r="S96" s="16">
        <f t="shared" si="7"/>
        <v>46156</v>
      </c>
    </row>
    <row r="97" spans="14:19" x14ac:dyDescent="0.25">
      <c r="N97" s="6">
        <v>94</v>
      </c>
      <c r="O97" s="29">
        <f t="shared" si="5"/>
        <v>3</v>
      </c>
      <c r="P97" s="6">
        <v>0</v>
      </c>
      <c r="Q97" s="6"/>
      <c r="R97" s="6">
        <f t="shared" si="8"/>
        <v>103</v>
      </c>
      <c r="S97" s="16">
        <f t="shared" si="7"/>
        <v>46157</v>
      </c>
    </row>
    <row r="98" spans="14:19" x14ac:dyDescent="0.25">
      <c r="N98" s="6">
        <v>95</v>
      </c>
      <c r="O98" s="29">
        <f t="shared" si="5"/>
        <v>3</v>
      </c>
      <c r="P98" s="6">
        <v>0</v>
      </c>
      <c r="Q98" s="6"/>
      <c r="R98" s="6">
        <f t="shared" si="8"/>
        <v>103</v>
      </c>
      <c r="S98" s="16">
        <f t="shared" si="7"/>
        <v>46158</v>
      </c>
    </row>
    <row r="99" spans="14:19" x14ac:dyDescent="0.25">
      <c r="N99" s="6">
        <v>96</v>
      </c>
      <c r="O99" s="29">
        <f t="shared" si="5"/>
        <v>3</v>
      </c>
      <c r="P99" s="6">
        <v>0</v>
      </c>
      <c r="Q99" s="6"/>
      <c r="R99" s="6">
        <f t="shared" si="8"/>
        <v>103</v>
      </c>
      <c r="S99" s="16">
        <f t="shared" si="7"/>
        <v>46159</v>
      </c>
    </row>
    <row r="100" spans="14:19" x14ac:dyDescent="0.25">
      <c r="N100" s="6">
        <v>97</v>
      </c>
      <c r="O100" s="29">
        <f t="shared" ref="O100:O117" si="9">$B$10</f>
        <v>3</v>
      </c>
      <c r="P100" s="6">
        <v>0</v>
      </c>
      <c r="Q100" s="6"/>
      <c r="R100" s="6">
        <f t="shared" si="8"/>
        <v>103</v>
      </c>
      <c r="S100" s="16">
        <f t="shared" si="7"/>
        <v>46160</v>
      </c>
    </row>
    <row r="101" spans="14:19" x14ac:dyDescent="0.25">
      <c r="N101" s="6">
        <v>98</v>
      </c>
      <c r="O101" s="29">
        <f t="shared" si="9"/>
        <v>3</v>
      </c>
      <c r="P101" s="6">
        <v>0</v>
      </c>
      <c r="Q101" s="6"/>
      <c r="R101" s="6">
        <f t="shared" si="8"/>
        <v>103</v>
      </c>
      <c r="S101" s="16">
        <f t="shared" si="7"/>
        <v>46161</v>
      </c>
    </row>
    <row r="102" spans="14:19" x14ac:dyDescent="0.25">
      <c r="N102" s="6">
        <v>99</v>
      </c>
      <c r="O102" s="29">
        <f t="shared" si="9"/>
        <v>3</v>
      </c>
      <c r="P102" s="6">
        <v>0</v>
      </c>
      <c r="Q102" s="6"/>
      <c r="R102" s="6">
        <f t="shared" si="8"/>
        <v>103</v>
      </c>
      <c r="S102" s="16">
        <f t="shared" si="7"/>
        <v>46162</v>
      </c>
    </row>
    <row r="103" spans="14:19" x14ac:dyDescent="0.25">
      <c r="N103" s="6">
        <v>100</v>
      </c>
      <c r="O103" s="29">
        <f t="shared" si="9"/>
        <v>3</v>
      </c>
      <c r="P103" s="6">
        <v>0</v>
      </c>
      <c r="Q103" s="6"/>
      <c r="R103" s="6">
        <f t="shared" si="8"/>
        <v>103</v>
      </c>
      <c r="S103" s="16">
        <f t="shared" si="7"/>
        <v>46163</v>
      </c>
    </row>
    <row r="104" spans="14:19" x14ac:dyDescent="0.25">
      <c r="N104" s="6">
        <v>101</v>
      </c>
      <c r="O104" s="29">
        <f t="shared" si="9"/>
        <v>3</v>
      </c>
      <c r="P104" s="6">
        <v>0</v>
      </c>
      <c r="Q104" s="6"/>
      <c r="R104" s="6">
        <f t="shared" si="8"/>
        <v>103</v>
      </c>
      <c r="S104" s="16">
        <f t="shared" si="7"/>
        <v>46164</v>
      </c>
    </row>
    <row r="105" spans="14:19" x14ac:dyDescent="0.25">
      <c r="N105" s="6">
        <v>102</v>
      </c>
      <c r="O105" s="29">
        <f t="shared" si="9"/>
        <v>3</v>
      </c>
      <c r="P105" s="6">
        <v>0</v>
      </c>
      <c r="Q105" s="6"/>
      <c r="R105" s="6">
        <f t="shared" si="8"/>
        <v>103</v>
      </c>
      <c r="S105" s="16">
        <f t="shared" si="7"/>
        <v>46165</v>
      </c>
    </row>
    <row r="106" spans="14:19" x14ac:dyDescent="0.25">
      <c r="N106" s="6">
        <v>103</v>
      </c>
      <c r="O106" s="29">
        <f t="shared" si="9"/>
        <v>3</v>
      </c>
      <c r="P106" s="6">
        <v>0</v>
      </c>
      <c r="Q106" s="6"/>
      <c r="R106" s="6">
        <f t="shared" si="8"/>
        <v>103</v>
      </c>
      <c r="S106" s="16">
        <f t="shared" si="7"/>
        <v>46166</v>
      </c>
    </row>
    <row r="107" spans="14:19" x14ac:dyDescent="0.25">
      <c r="N107" s="6">
        <v>104</v>
      </c>
      <c r="O107" s="29">
        <f t="shared" si="9"/>
        <v>3</v>
      </c>
      <c r="P107" s="6">
        <v>0</v>
      </c>
      <c r="Q107" s="6"/>
      <c r="R107" s="6">
        <f t="shared" si="8"/>
        <v>103</v>
      </c>
      <c r="S107" s="16">
        <f t="shared" si="7"/>
        <v>46167</v>
      </c>
    </row>
    <row r="108" spans="14:19" x14ac:dyDescent="0.25">
      <c r="N108" s="6">
        <v>105</v>
      </c>
      <c r="O108" s="29">
        <f t="shared" si="9"/>
        <v>3</v>
      </c>
      <c r="P108" s="6">
        <v>0</v>
      </c>
      <c r="Q108" s="6"/>
      <c r="R108" s="6">
        <f t="shared" si="8"/>
        <v>103</v>
      </c>
      <c r="S108" s="16">
        <f t="shared" si="7"/>
        <v>46168</v>
      </c>
    </row>
    <row r="109" spans="14:19" x14ac:dyDescent="0.25">
      <c r="N109" s="6">
        <v>106</v>
      </c>
      <c r="O109" s="29">
        <f t="shared" si="9"/>
        <v>3</v>
      </c>
      <c r="P109" s="6">
        <v>0</v>
      </c>
      <c r="Q109" s="6"/>
      <c r="R109" s="6">
        <f t="shared" si="8"/>
        <v>103</v>
      </c>
      <c r="S109" s="16">
        <f t="shared" si="7"/>
        <v>46169</v>
      </c>
    </row>
    <row r="110" spans="14:19" x14ac:dyDescent="0.25">
      <c r="N110" s="6">
        <v>107</v>
      </c>
      <c r="O110" s="29">
        <f t="shared" si="9"/>
        <v>3</v>
      </c>
      <c r="P110" s="6">
        <v>0</v>
      </c>
      <c r="Q110" s="6"/>
      <c r="R110" s="6">
        <f t="shared" si="8"/>
        <v>103</v>
      </c>
      <c r="S110" s="16">
        <f t="shared" si="7"/>
        <v>46170</v>
      </c>
    </row>
    <row r="111" spans="14:19" x14ac:dyDescent="0.25">
      <c r="N111" s="6">
        <v>108</v>
      </c>
      <c r="O111" s="29">
        <f t="shared" si="9"/>
        <v>3</v>
      </c>
      <c r="P111" s="6">
        <v>0</v>
      </c>
      <c r="Q111" s="6"/>
      <c r="R111" s="6">
        <f t="shared" si="8"/>
        <v>103</v>
      </c>
      <c r="S111" s="16">
        <f t="shared" si="7"/>
        <v>46171</v>
      </c>
    </row>
    <row r="112" spans="14:19" x14ac:dyDescent="0.25">
      <c r="N112" s="6">
        <v>109</v>
      </c>
      <c r="O112" s="29">
        <f t="shared" si="9"/>
        <v>3</v>
      </c>
      <c r="P112" s="6">
        <v>0</v>
      </c>
      <c r="Q112" s="6"/>
      <c r="R112" s="6">
        <f t="shared" si="8"/>
        <v>103</v>
      </c>
      <c r="S112" s="16">
        <f t="shared" si="7"/>
        <v>46172</v>
      </c>
    </row>
    <row r="113" spans="14:19" x14ac:dyDescent="0.25">
      <c r="N113" s="6">
        <v>110</v>
      </c>
      <c r="O113" s="29">
        <f t="shared" si="9"/>
        <v>3</v>
      </c>
      <c r="P113" s="6">
        <v>0</v>
      </c>
      <c r="Q113" s="6"/>
      <c r="R113" s="6">
        <f t="shared" si="8"/>
        <v>103</v>
      </c>
      <c r="S113" s="16">
        <f t="shared" si="7"/>
        <v>46173</v>
      </c>
    </row>
    <row r="114" spans="14:19" x14ac:dyDescent="0.25">
      <c r="N114" s="6">
        <v>111</v>
      </c>
      <c r="O114" s="29">
        <f t="shared" si="9"/>
        <v>3</v>
      </c>
      <c r="P114" s="6">
        <v>0</v>
      </c>
      <c r="Q114" s="6"/>
      <c r="R114" s="6">
        <f t="shared" si="8"/>
        <v>103</v>
      </c>
      <c r="S114" s="16">
        <f t="shared" si="7"/>
        <v>46174</v>
      </c>
    </row>
    <row r="115" spans="14:19" x14ac:dyDescent="0.25">
      <c r="N115" s="6">
        <v>112</v>
      </c>
      <c r="O115" s="29">
        <f t="shared" si="9"/>
        <v>3</v>
      </c>
      <c r="P115" s="6">
        <v>0</v>
      </c>
      <c r="Q115" s="6"/>
      <c r="R115" s="6">
        <f t="shared" si="8"/>
        <v>103</v>
      </c>
      <c r="S115" s="16">
        <f t="shared" si="7"/>
        <v>46175</v>
      </c>
    </row>
    <row r="116" spans="14:19" x14ac:dyDescent="0.25">
      <c r="N116" s="6">
        <v>113</v>
      </c>
      <c r="O116" s="29">
        <f t="shared" si="9"/>
        <v>3</v>
      </c>
      <c r="P116" s="6">
        <v>0</v>
      </c>
      <c r="Q116" s="6"/>
      <c r="R116" s="6">
        <f t="shared" si="8"/>
        <v>103</v>
      </c>
      <c r="S116" s="16">
        <f t="shared" si="7"/>
        <v>46176</v>
      </c>
    </row>
    <row r="117" spans="14:19" x14ac:dyDescent="0.25">
      <c r="N117" s="6">
        <v>114</v>
      </c>
      <c r="O117" s="29">
        <f t="shared" si="9"/>
        <v>3</v>
      </c>
      <c r="P117" s="6">
        <v>0</v>
      </c>
      <c r="Q117" s="6"/>
      <c r="R117" s="6">
        <f t="shared" si="8"/>
        <v>103</v>
      </c>
      <c r="S117" s="16">
        <f t="shared" si="7"/>
        <v>46177</v>
      </c>
    </row>
    <row r="118" spans="14:19" x14ac:dyDescent="0.25">
      <c r="S118" s="5"/>
    </row>
  </sheetData>
  <phoneticPr fontId="3" type="noConversion"/>
  <conditionalFormatting sqref="N3:N117">
    <cfRule type="colorScale" priority="5">
      <colorScale>
        <cfvo type="min"/>
        <cfvo type="max"/>
        <color rgb="FFF8696B"/>
        <color rgb="FFFCFCFF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:P117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3:Q11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117">
    <cfRule type="colorScale" priority="1">
      <colorScale>
        <cfvo type="min"/>
        <cfvo type="max"/>
        <color rgb="FFFCFCFF"/>
        <color rgb="FFF8696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JACOB DUARTE</dc:creator>
  <cp:lastModifiedBy>MATHEUS JACOB DUARTE</cp:lastModifiedBy>
  <dcterms:created xsi:type="dcterms:W3CDTF">2026-03-31T13:38:05Z</dcterms:created>
  <dcterms:modified xsi:type="dcterms:W3CDTF">2026-04-02T23:57:44Z</dcterms:modified>
</cp:coreProperties>
</file>